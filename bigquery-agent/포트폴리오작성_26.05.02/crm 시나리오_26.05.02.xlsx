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und\OneDrive\바탕 화면\bigquery-agent\포트폴리오작성_26.05.02\"/>
    </mc:Choice>
  </mc:AlternateContent>
  <xr:revisionPtr revIDLastSave="0" documentId="8_{F5DE4342-7124-43D8-8061-04BC2E052A3D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원링크생성규칙_24.11.12" sheetId="5" r:id="rId1"/>
    <sheet name="커버링 X 인플루언서 협업 트래킹" sheetId="6" r:id="rId2"/>
    <sheet name="대행사 컨택 히스토리" sheetId="7" r:id="rId3"/>
    <sheet name="소문내기 이벤트 대상자" sheetId="8" r:id="rId4"/>
    <sheet name="소재 라벨링 규칙" sheetId="9" r:id="rId5"/>
    <sheet name="CRM 시나리오(도형)_25.05.30" sheetId="14" r:id="rId6"/>
  </sheets>
  <definedNames>
    <definedName name="_xlnm._FilterDatabase" localSheetId="2" hidden="1">'대행사 컨택 히스토리'!$A$1:$I$26</definedName>
    <definedName name="_xlnm._FilterDatabase" localSheetId="3" hidden="1">'소문내기 이벤트 대상자'!$A$1:$F$18</definedName>
  </definedNames>
  <calcPr calcId="191029"/>
  <customWorkbookViews>
    <customWorkbookView name="필터 1" guid="{477CA787-B119-4B8B-BFE6-52A7CDD8F5E6}" maximized="1" windowWidth="0" windowHeight="0" activeSheetId="0"/>
    <customWorkbookView name="'없음'을 위로_25.10.10" guid="{9A44FAED-8FCF-456C-A22D-E66BE4F61B18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6" l="1"/>
  <c r="H38" i="6"/>
  <c r="D37" i="6"/>
  <c r="H30" i="6"/>
  <c r="H18" i="6"/>
  <c r="G14" i="6"/>
  <c r="G13" i="6"/>
  <c r="G12" i="6"/>
  <c r="G11" i="6"/>
  <c r="G10" i="6"/>
  <c r="G9" i="6"/>
  <c r="G8" i="6"/>
  <c r="G6" i="6" a="1"/>
  <c r="M6" i="6" s="1"/>
  <c r="G3" i="6" a="1"/>
  <c r="K3" i="6" s="1"/>
  <c r="I6" i="6" l="1"/>
  <c r="L3" i="6"/>
  <c r="M3" i="6"/>
  <c r="G6" i="6"/>
  <c r="H6" i="6"/>
  <c r="G3" i="6"/>
  <c r="J6" i="6"/>
  <c r="K6" i="6"/>
  <c r="H3" i="6"/>
  <c r="L6" i="6"/>
  <c r="I3" i="6"/>
  <c r="J3" i="6"/>
</calcChain>
</file>

<file path=xl/sharedStrings.xml><?xml version="1.0" encoding="utf-8"?>
<sst xmlns="http://schemas.openxmlformats.org/spreadsheetml/2006/main" count="2196" uniqueCount="1076">
  <si>
    <t>업로드 일자</t>
  </si>
  <si>
    <t>춘남이</t>
  </si>
  <si>
    <t>티파니 남편 제이</t>
  </si>
  <si>
    <t>잘살자</t>
  </si>
  <si>
    <t>예진</t>
  </si>
  <si>
    <t>규칙</t>
  </si>
  <si>
    <t>상태</t>
  </si>
  <si>
    <t>없음</t>
  </si>
  <si>
    <t>알림톡</t>
  </si>
  <si>
    <t>SMS</t>
  </si>
  <si>
    <t>홈 스크린</t>
  </si>
  <si>
    <t>비고</t>
  </si>
  <si>
    <t>앱푸시</t>
  </si>
  <si>
    <t>홈스크린</t>
  </si>
  <si>
    <t xml:space="preserve">네임 코드 (이름) 삽입 규칙_25.12.08 </t>
  </si>
  <si>
    <t>1. 미디어, 캠페인은 영어로 작성</t>
  </si>
  <si>
    <t>프로덕트 CRM</t>
  </si>
  <si>
    <t>마케팅 CRM</t>
  </si>
  <si>
    <t>af_ad의 링크 명과 날짜 사이에 네임 코드 삽입</t>
  </si>
  <si>
    <t>2. 영어 작성 시 첫 글자는 대문자로 작성</t>
  </si>
  <si>
    <t>Social_alimtalk (프로덕트 CRM)</t>
  </si>
  <si>
    <t>Promotion_alimtalk (알림톡)</t>
  </si>
  <si>
    <t>ex) 25년12월프로모션test_sj1_25.11.27</t>
  </si>
  <si>
    <t>3. 세트, 광고 빈 공간으로 놔두면 안됨</t>
  </si>
  <si>
    <t>Product_brand (브랜드 메시지)</t>
  </si>
  <si>
    <t>Promotion_plus (카카오 플친)</t>
  </si>
  <si>
    <t>sj1</t>
  </si>
  <si>
    <t>4. 광고 이름(af_ad) 기입 시 항상 원링크 생성 날짜 기입</t>
  </si>
  <si>
    <t>Product_alimtalk (프로덕트 시나리오 알림톡)</t>
  </si>
  <si>
    <t>Promotion_sms (문자메시지)</t>
  </si>
  <si>
    <t>dh1</t>
  </si>
  <si>
    <t>5. 새로운 규칙은 항상 스프레드 시트에 기입 진행</t>
  </si>
  <si>
    <t>Promotion_brand (카톡 브랜드 메시지)</t>
  </si>
  <si>
    <t>hn1</t>
  </si>
  <si>
    <t>6. 채널톡에는 원링크 사용 안됨</t>
  </si>
  <si>
    <t>nk1</t>
  </si>
  <si>
    <t>7. af_ad에 사용되는 날짜는 링크 생성일로 통일</t>
  </si>
  <si>
    <t>mk1</t>
  </si>
  <si>
    <t>8. 원링크 링크 명, ad이름과 통일 진행</t>
  </si>
  <si>
    <t>9.  af_ad에 네임 코드 삽입</t>
  </si>
  <si>
    <t>Custom media source</t>
  </si>
  <si>
    <t>Campaign name</t>
  </si>
  <si>
    <t>af_adset</t>
  </si>
  <si>
    <t>af_ad(링크 이름과 동일)</t>
  </si>
  <si>
    <t>특이사항</t>
  </si>
  <si>
    <t>템플릿코드</t>
  </si>
  <si>
    <t>템플릿명</t>
  </si>
  <si>
    <t>Blog</t>
  </si>
  <si>
    <t>Viral</t>
  </si>
  <si>
    <t>친추이벤트</t>
  </si>
  <si>
    <t>하루미_24.11.123</t>
  </si>
  <si>
    <t>예시</t>
  </si>
  <si>
    <t>대기</t>
  </si>
  <si>
    <t>Partnership_b2c</t>
  </si>
  <si>
    <t>Partnership</t>
  </si>
  <si>
    <t>아파트너</t>
  </si>
  <si>
    <t>아파트너to커버링_24.11.12</t>
  </si>
  <si>
    <t>해당 링크 만들어야하는지 확인 필요</t>
  </si>
  <si>
    <t>불가</t>
  </si>
  <si>
    <t>짐싸</t>
  </si>
  <si>
    <t>짐싸to커버링_24.11.12</t>
  </si>
  <si>
    <t>설정 완료 (기존 링크 값만 변경)</t>
  </si>
  <si>
    <t>반영 완료</t>
  </si>
  <si>
    <t>web</t>
  </si>
  <si>
    <t>Owned_media</t>
  </si>
  <si>
    <t>Web_b2c</t>
  </si>
  <si>
    <t>웹to앱_24.11.12</t>
  </si>
  <si>
    <t>설정 완료</t>
  </si>
  <si>
    <t>링크 생성 완료</t>
  </si>
  <si>
    <t>https://abr.ge/u7gjoq</t>
  </si>
  <si>
    <t>Social_kakaotalk</t>
  </si>
  <si>
    <t>Crm</t>
  </si>
  <si>
    <t>웰컴메세지</t>
  </si>
  <si>
    <t>친구추천하기_24.03.15</t>
  </si>
  <si>
    <t>현재 웰컴 메시지 없음.</t>
  </si>
  <si>
    <t>채팅방메뉴</t>
  </si>
  <si>
    <t>수거신청_24.11.12</t>
  </si>
  <si>
    <t>해당 링크 원링크 아님 설정 불가</t>
  </si>
  <si>
    <t>공유하기</t>
  </si>
  <si>
    <t>친구초대_24.11.12</t>
  </si>
  <si>
    <t>해당 기능 없음.</t>
  </si>
  <si>
    <t>돌아와요30%쿠폰_24.11.12</t>
  </si>
  <si>
    <t>대체문자</t>
  </si>
  <si>
    <t>알림톡대체_24.11.12</t>
  </si>
  <si>
    <t>Littly</t>
  </si>
  <si>
    <t>리틀리</t>
  </si>
  <si>
    <t>리틀리to앱설치_24.11.13</t>
  </si>
  <si>
    <t>오늘수거시딩</t>
  </si>
  <si>
    <t>오늘수거키워드_블로거_24.11.19</t>
  </si>
  <si>
    <t>실사용</t>
  </si>
  <si>
    <t>https://covering.onelink.me/yhjQ/nhckth5x</t>
  </si>
  <si>
    <t>Social_alimtalk</t>
  </si>
  <si>
    <t>미이용고객전환</t>
  </si>
  <si>
    <t>30%할인_24.11.25</t>
  </si>
  <si>
    <t>https://covering.onelink.me/yhjQ/blxckato</t>
  </si>
  <si>
    <t>reuse 30%coupon01</t>
  </si>
  <si>
    <t>이벤트_재이용_30%01</t>
  </si>
  <si>
    <t>50%할인_24.11.25</t>
  </si>
  <si>
    <t>https://covering.onelink.me/yhjQ/0ofxsrbo</t>
  </si>
  <si>
    <t>reuse 50%coupon01</t>
  </si>
  <si>
    <t>이벤트_재이용_50%01</t>
  </si>
  <si>
    <t>80%할인_24.11.25</t>
  </si>
  <si>
    <t>https://covering.onelink.me/yhjQ/nmd0b0pn</t>
  </si>
  <si>
    <t>reuse 80%coupon01</t>
  </si>
  <si>
    <t>이벤트_재이용_80%01</t>
  </si>
  <si>
    <t>서비스무료_24.11.25</t>
  </si>
  <si>
    <t>https://covering.onelink.me/yhjQ/stzws75t</t>
  </si>
  <si>
    <t>reuse service_freecoupon01</t>
  </si>
  <si>
    <t>이벤트_재이용_무료01</t>
  </si>
  <si>
    <t>기본료무료_24.11.25</t>
  </si>
  <si>
    <t>https://covering.onelink.me/yhjQ/4a7zwagz</t>
  </si>
  <si>
    <t>reuse basic_freecoupon01</t>
  </si>
  <si>
    <t>이벤트_재이용_기본료무료01</t>
  </si>
  <si>
    <t>5천원할인_24.11.25</t>
  </si>
  <si>
    <t>https://covering.onelink.me/yhjQ/1hdgvnfw</t>
  </si>
  <si>
    <t>reuse 5000coupon01</t>
  </si>
  <si>
    <t>이벤트_재이용_5천원01</t>
  </si>
  <si>
    <t>24년청소연말결산</t>
  </si>
  <si>
    <t>첫이용990원_24.12.04</t>
  </si>
  <si>
    <t>https://covering.onelink.me/yhjQ/podz3upb</t>
  </si>
  <si>
    <t>event_990coupon01</t>
  </si>
  <si>
    <t>이벤트_연말_990원01</t>
  </si>
  <si>
    <t>청소결산_24.12.04</t>
  </si>
  <si>
    <t>https://covering.onelink.me/yhjQ/uuzd4qjf</t>
  </si>
  <si>
    <t>event_endcoupon01</t>
  </si>
  <si>
    <t>이벤트_연말_청소결산01</t>
  </si>
  <si>
    <t>오늘수거키워드_김지윤_24.12.17</t>
  </si>
  <si>
    <t>https://covering.onelink.me/yhjQ/ukczmsjb</t>
  </si>
  <si>
    <t>첫이용990원_24.12.27</t>
  </si>
  <si>
    <t>https://covering.onelink.me/yhjQ/uyx0injj</t>
  </si>
  <si>
    <t>event_990coupon02</t>
  </si>
  <si>
    <t>이벤트_연말_990원02</t>
  </si>
  <si>
    <t>청소결산_24.12.27</t>
  </si>
  <si>
    <t>https://covering.onelink.me/yhjQ/7h3vsm2v</t>
  </si>
  <si>
    <t>event_endcoupon02</t>
  </si>
  <si>
    <t>이벤트_연말_청소결산02</t>
  </si>
  <si>
    <t>서비스지역오픈_성남시</t>
  </si>
  <si>
    <t>성남시오픈_25.01.06</t>
  </si>
  <si>
    <t>https://covering.onelink.me/yhjQ/w3bogpyq</t>
  </si>
  <si>
    <t>service_region_open12-01</t>
  </si>
  <si>
    <t>서비스지역오픈_성남시01</t>
  </si>
  <si>
    <t>무료이용권6일뒤_25.01.06</t>
  </si>
  <si>
    <t>https://covering.onelink.me/yhjQ/ik8xmjrc</t>
  </si>
  <si>
    <t>reuse service_freecoupon02-1</t>
  </si>
  <si>
    <t>이벤트_재이용_무료02-1</t>
  </si>
  <si>
    <t>첫이용0원6일뒤_25.01.06</t>
  </si>
  <si>
    <t>https://covering.onelink.me/yhjQ/xkpmh16i</t>
  </si>
  <si>
    <t>reuse service_freecoupon02-2</t>
  </si>
  <si>
    <t>이벤트_재이용_무료02-2</t>
  </si>
  <si>
    <t>무료이용권당첨_25.01.06</t>
  </si>
  <si>
    <t>https://covering.onelink.me/yhjQ/mebbkfs3</t>
  </si>
  <si>
    <t>reuse service_freecoupon02-3</t>
  </si>
  <si>
    <t>이벤트_재이용_무료02-3</t>
  </si>
  <si>
    <t>첫이용0원당첨_25.01.06</t>
  </si>
  <si>
    <t>https://covering.onelink.me/yhjQ/u2lxwpmw</t>
  </si>
  <si>
    <t>reuse service_freecoupon02-4</t>
  </si>
  <si>
    <t>이벤트_재이용_무료02-4</t>
  </si>
  <si>
    <t>성남시오픈_25.01.13</t>
  </si>
  <si>
    <t>https://covering.onelink.me/yhjQ/ofrd1vt3</t>
  </si>
  <si>
    <t>service_region_open12-02</t>
  </si>
  <si>
    <t>서비스지역오픈_성남시02</t>
  </si>
  <si>
    <t>25년설맞이할인</t>
  </si>
  <si>
    <t>설맞이10%쿠폰_25.01.15</t>
  </si>
  <si>
    <t>https://covering.onelink.me/yhjQ/sc0ebyu0</t>
  </si>
  <si>
    <t>holiday_10%coupon01</t>
  </si>
  <si>
    <t>이벤트_설맞이_10%01</t>
  </si>
  <si>
    <t>설맞이20%쿠폰_25.01.15</t>
  </si>
  <si>
    <t>https://covering.onelink.me/yhjQ/qwrecgxx</t>
  </si>
  <si>
    <t>holiday_20%coupon01</t>
  </si>
  <si>
    <t>이벤트_설맞이_20%01</t>
  </si>
  <si>
    <t>25년설연휴안내</t>
  </si>
  <si>
    <t>설연휴안내_25.01.15</t>
  </si>
  <si>
    <t>https://covering.onelink.me/yhjQ/lfn1ly6u</t>
  </si>
  <si>
    <t>holiday_notice01</t>
  </si>
  <si>
    <t>서비스_설연휴안내01</t>
  </si>
  <si>
    <t>25년친구선물이벤트</t>
  </si>
  <si>
    <t>친구선물_25.02.04</t>
  </si>
  <si>
    <t>https://covering.onelink.me/yhjQ/7wr0pwum</t>
  </si>
  <si>
    <t>25년소문내기이벤트</t>
  </si>
  <si>
    <t>소문내기이벤트_최유지 _25.03.07</t>
  </si>
  <si>
    <t>https://covering.onelink.me/yhjQ/mzs9c1fi</t>
  </si>
  <si>
    <t>최유지(유댕)</t>
  </si>
  <si>
    <t>Twiter</t>
  </si>
  <si>
    <t>25년트위터온드로팔아보기</t>
  </si>
  <si>
    <t>RT이벤트 _25.03.19</t>
  </si>
  <si>
    <t>https://covering.onelink.me/yhjQ/pveyzsdx</t>
  </si>
  <si>
    <t>25년식목일맞이</t>
  </si>
  <si>
    <t>첫이용페이백_25.03.31</t>
  </si>
  <si>
    <t>https://covering.onelink.me/yhjQ/k85prxyl</t>
  </si>
  <si>
    <t>reuse service_payback01</t>
  </si>
  <si>
    <t>이벤트_식목일_페이백01</t>
  </si>
  <si>
    <t>첫이용페이백_25.04.01</t>
  </si>
  <si>
    <t>https://covering.onelink.me/yhjQ/ta3v7yp0</t>
  </si>
  <si>
    <t>소문내기이벤트_권다윤 _25.04.02</t>
  </si>
  <si>
    <t>https://covering.onelink.me/yhjQ/qahlgr6k</t>
  </si>
  <si>
    <t>이벤트 바로가기_25.04.04</t>
  </si>
  <si>
    <t>https://covering.onelink.me/yhjQ/hvbqdfj1</t>
  </si>
  <si>
    <t>페이백 확인하기_25.04.04</t>
  </si>
  <si>
    <t>https://covering.onelink.me/yhjQ/sim8s2lg</t>
  </si>
  <si>
    <t>지금 소문내기_25.04.04</t>
  </si>
  <si>
    <t>https://covering.onelink.me/yhjQ/dd9cfvd6</t>
  </si>
  <si>
    <t>트위터시딩이벤트_홀리_25.04.15</t>
  </si>
  <si>
    <t>https://covering.onelink.me/yhjQ/mu2mchup</t>
  </si>
  <si>
    <t>소문내기이벤트_도토리 _25.04.21</t>
  </si>
  <si>
    <t>https://covering.onelink.me/yhjQ/7php8c6o</t>
  </si>
  <si>
    <t>트위터시딩이벤트_돠고_25.04.29</t>
  </si>
  <si>
    <t>https://covering.onelink.me/yhjQ/sjw1y3h8</t>
  </si>
  <si>
    <t>트위터시딩이벤트_쁘띠_25.05.14</t>
  </si>
  <si>
    <t>https://covering.onelink.me/yhjQ/sya59qcw</t>
  </si>
  <si>
    <t>Paid</t>
  </si>
  <si>
    <t>Gfa</t>
  </si>
  <si>
    <t>Gfa_프로필</t>
  </si>
  <si>
    <t>Gfa_프로필_25.05.20</t>
  </si>
  <si>
    <t>https://covering.onelink.me/yhjQ/xdwml81l</t>
  </si>
  <si>
    <t>사용X</t>
  </si>
  <si>
    <t>Youtube</t>
  </si>
  <si>
    <t>25년유튜버도달최대화</t>
  </si>
  <si>
    <t>유튜버도달최대화_민델리_25.06.10</t>
  </si>
  <si>
    <t>https://covering.onelink.me/yhjQ/b8x10tin</t>
  </si>
  <si>
    <t>instagram</t>
  </si>
  <si>
    <t>25년원룸만들기</t>
  </si>
  <si>
    <t>원룸만들기_25.06.20</t>
  </si>
  <si>
    <t>applinks:covering.airbridge.io</t>
  </si>
  <si>
    <t>서비스 지역 오픈 알림 신청 유도</t>
  </si>
  <si>
    <t>서비스 지역 오픈 알림 신청 유도_25.06.04</t>
  </si>
  <si>
    <t>https://covering.onelink.me/yhjQ/1gt60mju</t>
  </si>
  <si>
    <t>notice_service_region_preopen</t>
  </si>
  <si>
    <t>지역별 오픈 임박 안내</t>
  </si>
  <si>
    <t>트위터시딩이벤트_foggy_25.06.04</t>
  </si>
  <si>
    <t>https://covering.onelink.me/yhjQ/91nfsy10</t>
  </si>
  <si>
    <t>elevator</t>
  </si>
  <si>
    <t>25년엘레베이터광고</t>
  </si>
  <si>
    <t>엘레베이터_수원(음식물)_25.06.11</t>
  </si>
  <si>
    <t>엘레베이터_수원(폐기물)_25.06.11</t>
  </si>
  <si>
    <t>https://abr.ge/07rfhn</t>
  </si>
  <si>
    <t>엘레베이터_수원(음식물)_25.06.17</t>
  </si>
  <si>
    <t>엘레베이터_수원(폐기물)_25.06.17</t>
  </si>
  <si>
    <t>https://abr.ge/74ubkc</t>
  </si>
  <si>
    <t>blog</t>
  </si>
  <si>
    <t>소문내기이벤트_함박웃음 _25.06.18</t>
  </si>
  <si>
    <t>https://abr.ge/it699w</t>
  </si>
  <si>
    <t>함박웃음</t>
  </si>
  <si>
    <t>littly</t>
  </si>
  <si>
    <t>리틀리to앱설치_25.06.20</t>
  </si>
  <si>
    <t>https://abr.ge/xkynz5</t>
  </si>
  <si>
    <t>25년6월정기crm</t>
  </si>
  <si>
    <t>6월정기crm_25.06.20</t>
  </si>
  <si>
    <t xml:space="preserve">설정완료 </t>
  </si>
  <si>
    <t>https://abr.ge/60gycn</t>
  </si>
  <si>
    <t>event_6monthly_coupon01</t>
  </si>
  <si>
    <t>이벤트_6월정기_10%01</t>
  </si>
  <si>
    <t>youtube</t>
  </si>
  <si>
    <t>유튜버도달최대화_미미짱_25.06.26</t>
  </si>
  <si>
    <t>https://abr.ge/ayiuxb</t>
  </si>
  <si>
    <t>25년인스타마이크로시딩</t>
  </si>
  <si>
    <t>인스타마이크로시딩_유하맘_25.07.02</t>
  </si>
  <si>
    <t xml:space="preserve">설정 완료 </t>
  </si>
  <si>
    <t>https://abr.ge/us84w6</t>
  </si>
  <si>
    <t>naver</t>
  </si>
  <si>
    <t>Gfa_프로필_25.07.01</t>
  </si>
  <si>
    <t>https://abr.ge/3kh89b</t>
  </si>
  <si>
    <t>25년7월정기crm</t>
  </si>
  <si>
    <t>7월정기crm_25.07.26</t>
  </si>
  <si>
    <t>https://abr.ge/ly1vdm</t>
  </si>
  <si>
    <t>event_7monthly_coupon01</t>
  </si>
  <si>
    <t>이벤트_7월정기_40%01</t>
  </si>
  <si>
    <t>유튜버도달최대화_유수현_25.07.24</t>
  </si>
  <si>
    <t>https://abr.ge/wwm3cx</t>
  </si>
  <si>
    <t>7월정기crm플친_25.07.24</t>
  </si>
  <si>
    <t>https://abr.ge/w2zhq7</t>
  </si>
  <si>
    <t>유튜버도달최대화_살림토끼_25.07.24</t>
  </si>
  <si>
    <t>설정완료</t>
  </si>
  <si>
    <t>유튜버도달최대화_송미니_25.07.25</t>
  </si>
  <si>
    <t>https://abr.ge/peyin6</t>
  </si>
  <si>
    <t>25년8월정기crm</t>
  </si>
  <si>
    <t>8월정기crm_25.08.29</t>
  </si>
  <si>
    <t>https://abr.ge/u3sybi</t>
  </si>
  <si>
    <t>event_8monthly_coupon03</t>
  </si>
  <si>
    <t>이벤트_8월정기_20%03</t>
  </si>
  <si>
    <t>web2app</t>
  </si>
  <si>
    <t>Pay</t>
  </si>
  <si>
    <t>카카오페이</t>
  </si>
  <si>
    <t>카카오페이_25.08.20</t>
  </si>
  <si>
    <t>promotion_alimtalk</t>
  </si>
  <si>
    <t>25년마케팅공용</t>
  </si>
  <si>
    <t>마케팅공용_쿠폰만료_25.08.20</t>
  </si>
  <si>
    <t>링크생성완료</t>
  </si>
  <si>
    <t>https://abr.ge/cynqm0</t>
  </si>
  <si>
    <t>marketing_end_coupon01</t>
  </si>
  <si>
    <t>마케팅_공용_쿠폰_만료01</t>
  </si>
  <si>
    <t>promotion_sms</t>
  </si>
  <si>
    <t>25년10월테스트crm</t>
  </si>
  <si>
    <t>25년10월테스트crm_25.10.20</t>
  </si>
  <si>
    <t>유튜버도달최대화_원룸만들기_25.09.19</t>
  </si>
  <si>
    <t>https://abr.ge/f5go3p</t>
  </si>
  <si>
    <t>25년인스타도달최대화</t>
  </si>
  <si>
    <t>인스타도달최대화_원룸만들기_25.09.19</t>
  </si>
  <si>
    <t>https://abr.ge/8521xx</t>
  </si>
  <si>
    <t>tiktok_viral</t>
  </si>
  <si>
    <t>25년틱톡도달최대화</t>
  </si>
  <si>
    <t>틱톡도달최대화_원룸만들기_25.09.19</t>
  </si>
  <si>
    <t>https://abr.ge/mzu3rn</t>
  </si>
  <si>
    <t>공지안내</t>
  </si>
  <si>
    <t>휴무안내crm_25.09.18</t>
  </si>
  <si>
    <t>https://abr.ge/miiu9j</t>
  </si>
  <si>
    <t>25년10월정기crm</t>
  </si>
  <si>
    <t>10월정기crm_25.09.26</t>
  </si>
  <si>
    <t>https://abr.ge/5ka2z9</t>
  </si>
  <si>
    <t>https://abr.ge/kmijkr</t>
  </si>
  <si>
    <t>김수진</t>
  </si>
  <si>
    <t>010-2045-1244</t>
  </si>
  <si>
    <t>인스타2이벤트2500</t>
  </si>
  <si>
    <t>인스타2이벤트2500_25.10.17</t>
  </si>
  <si>
    <t>https://abr.ge/16p03g</t>
  </si>
  <si>
    <t>25년유튜버도달최대화_시은니야_25.10.22</t>
  </si>
  <si>
    <t>https://abr.ge/nauq7a</t>
  </si>
  <si>
    <t>25년10월_test_crm</t>
  </si>
  <si>
    <t>10월test_crm_25.10.20</t>
  </si>
  <si>
    <t>https://abr.ge/7nm4gh</t>
  </si>
  <si>
    <t>25년11월정기crm</t>
  </si>
  <si>
    <t>11월정기crm_25.10.31</t>
  </si>
  <si>
    <t>https://abr.ge/jvxobgm</t>
  </si>
  <si>
    <t>event_11monthly_coupon05</t>
  </si>
  <si>
    <t>이벤트_11월정기_40%05</t>
  </si>
  <si>
    <t>promotion_plus</t>
  </si>
  <si>
    <t>25년11월 crm</t>
  </si>
  <si>
    <t>25년11월crm_25.11.11</t>
  </si>
  <si>
    <t>https://abr.ge/5z976t</t>
  </si>
  <si>
    <t>partnership_b2c</t>
  </si>
  <si>
    <t>짐싸to커버링_25.11.11</t>
  </si>
  <si>
    <t>promotion_brand</t>
  </si>
  <si>
    <t>25년12월프로모션test</t>
  </si>
  <si>
    <t>25년12월프로모션test_25.11.27</t>
  </si>
  <si>
    <t>https://abr.ge/ejzpes</t>
  </si>
  <si>
    <t>테스트 발송</t>
  </si>
  <si>
    <t>25년12월프로모션</t>
  </si>
  <si>
    <t>25년12월프로모션오픈_hn1_25.12.08</t>
  </si>
  <si>
    <t>https://abr.ge/870mohm</t>
  </si>
  <si>
    <t>25년12월프로모션오픈_첫이용반값_sj1_25.12.16</t>
  </si>
  <si>
    <t>https://abr.ge/qfhyymk</t>
  </si>
  <si>
    <t>25년12월프로모션오픈_랜덤쿠폰_sj1_25.12.16</t>
  </si>
  <si>
    <t>https://abr.ge/xx0k0jd</t>
  </si>
  <si>
    <t>25년12월프로모션오픈_일반_sj1_25.12.16</t>
  </si>
  <si>
    <t>https://abr.ge/gyuep7</t>
  </si>
  <si>
    <t>25년12월프로모션리마인드_랜덤쿠폰_hn1_25.12.24</t>
  </si>
  <si>
    <t>https://abr.ge/0belpk</t>
  </si>
  <si>
    <t>event_merry_remind_random01</t>
  </si>
  <si>
    <t>이벤트_12월_리마인드_랜덤01</t>
  </si>
  <si>
    <t>25년12월프로모션리마인드_첫이용반값_hn1_25.12.24</t>
  </si>
  <si>
    <t>https://abr.ge/89uwm2</t>
  </si>
  <si>
    <t>event_merry_remind_first01</t>
  </si>
  <si>
    <t>이벤트_12월_리마인드_첫구매01</t>
  </si>
  <si>
    <t>25년12월프로모션만료_일반_hn1_25.12.30</t>
  </si>
  <si>
    <t>https://abr.ge/diwwfd</t>
  </si>
  <si>
    <t>25년12월프로모션만료_일반_sj1_25.12.30</t>
  </si>
  <si>
    <t>https://abr.ge/ks9oky</t>
  </si>
  <si>
    <t>25년12월프로모션만료_첫이용반값_hn1_25.12.30</t>
  </si>
  <si>
    <t>https://abr.ge/6odpasa</t>
  </si>
  <si>
    <t>event_merry_end_first01</t>
  </si>
  <si>
    <t>이벤트_12월_만료_첫구매01</t>
  </si>
  <si>
    <t>25년12월프로모션만료_랜덤쿠폰_hn1_25.12.30</t>
  </si>
  <si>
    <t>https://abr.ge/t7ns54</t>
  </si>
  <si>
    <t>event_merry_end_random01</t>
  </si>
  <si>
    <t>이벤트_12월_만료_랜덤01</t>
  </si>
  <si>
    <t>product_alimtalk</t>
  </si>
  <si>
    <t>D7_CVR높이기</t>
  </si>
  <si>
    <t>D7_CVR높이기_D4발송_dh1_26.01.05</t>
  </si>
  <si>
    <t>https://abr.ge/65yhbh</t>
  </si>
  <si>
    <t>d7_cvr_up_d4_01</t>
  </si>
  <si>
    <t>제품_D7_CVR높이기_D4_01</t>
  </si>
  <si>
    <t>D7_CVR높이기_D7발송_dh1_26.01.05</t>
  </si>
  <si>
    <t>https://abr.ge/6qy7b0</t>
  </si>
  <si>
    <t>d7_cvr_up_d7_01</t>
  </si>
  <si>
    <t>제품_D7_CVR높이기_D7_01</t>
  </si>
  <si>
    <t>D7_CVR높이기_D12발송_dh1_26.01.05</t>
  </si>
  <si>
    <t>https://abr.ge/0uptms2</t>
  </si>
  <si>
    <t>d7_cvr_up_d12_01</t>
  </si>
  <si>
    <t>제품_D7_CVR높이기_D12_01</t>
  </si>
  <si>
    <t>D4_CVR높이기</t>
  </si>
  <si>
    <t>D4_CVR높이기_D4발송(문안)_dh1_26.01.05</t>
  </si>
  <si>
    <t>https://abr.ge/vt8ptn</t>
  </si>
  <si>
    <t>d4_cvr_up_text</t>
  </si>
  <si>
    <t>제품_D4_CVR높이기_문안</t>
  </si>
  <si>
    <t>D4_CVR높이기_D4발송(20%)_dh1_26.01.05</t>
  </si>
  <si>
    <t>https://abr.ge/1ptgozl</t>
  </si>
  <si>
    <t>d4_cvr_up_20%</t>
  </si>
  <si>
    <t>제품_D4_CVR높이기_20%</t>
  </si>
  <si>
    <t>D4_CVR높이기_D4발송(페이백)_dh1_26.01.05</t>
  </si>
  <si>
    <t>https://abr.ge/fimuqp</t>
  </si>
  <si>
    <t>d4_cvr_up_payback</t>
  </si>
  <si>
    <t>제품_D4_CVR높이기_페이백</t>
  </si>
  <si>
    <t>두잇to커버링</t>
  </si>
  <si>
    <t>두잇to커버링_dh1_26.01.17</t>
  </si>
  <si>
    <t>https://abr.ge/rxx3c9b</t>
  </si>
  <si>
    <t>D7_CVR높이기_D4발송_sj1_26.01.19</t>
  </si>
  <si>
    <t>https://abr.ge/1wswvg</t>
  </si>
  <si>
    <t>D7_CVR높이기_D7발송_sj1_26.01.19</t>
  </si>
  <si>
    <t>https://abr.ge/q43rgr</t>
  </si>
  <si>
    <t>D7_CVR높이기_D12발송_sj1_26.01.19</t>
  </si>
  <si>
    <t>https://abr.ge/ghuiz5</t>
  </si>
  <si>
    <t>D4_CVR높이기_D4발송(문안)_sj1_26.01.19</t>
  </si>
  <si>
    <t>https://abr.ge/guwyw07</t>
  </si>
  <si>
    <t>D4_CVR높이기_D4발송(20%)_sj1_26.01.19</t>
  </si>
  <si>
    <t>https://abr.ge/6zegz2</t>
  </si>
  <si>
    <t>D4_CVR높이기_D4발송(페이백)_sj1_26.01.19</t>
  </si>
  <si>
    <t>https://abr.ge/9xn5wg</t>
  </si>
  <si>
    <t>26년 구독 런칭 안내</t>
  </si>
  <si>
    <t>구독 런칭 안내_sj1_26.01.23</t>
  </si>
  <si>
    <t>https://abr.ge/9ghcjl</t>
  </si>
  <si>
    <t>26년DM바이럴</t>
  </si>
  <si>
    <t>26년DM바이럴_살림을더하다_sj1_26.01.29</t>
  </si>
  <si>
    <t>https://abr.ge/8lm46t</t>
  </si>
  <si>
    <t>26년DM바이럴_호하우스_sj1_26.01.29</t>
  </si>
  <si>
    <t>https://abr.ge/du2a6zp</t>
  </si>
  <si>
    <t>26년DM바이럴_링홈_sj1_26.01.29</t>
  </si>
  <si>
    <t>https://abr.ge/ikhpyr</t>
  </si>
  <si>
    <t>26년DM바이럴_비앳홈_sj1_26.01.29</t>
  </si>
  <si>
    <t>https://abr.ge/cy6876</t>
  </si>
  <si>
    <t>26년2월설맞이</t>
  </si>
  <si>
    <t>26년2월설맞이_쿠폰발급_dh1_26.02.05</t>
  </si>
  <si>
    <t>https://abr.ge/naogxy</t>
  </si>
  <si>
    <t>event_sul_provide_01</t>
  </si>
  <si>
    <t>설이벤트_26년2월_발급_01</t>
  </si>
  <si>
    <t>26년2월설맞이_6h뒤쿠폰만료_dh1_26.02.05</t>
  </si>
  <si>
    <t>https://abr.ge/sydd4o2</t>
  </si>
  <si>
    <t>event_sul_6hend_01</t>
  </si>
  <si>
    <t>설이벤트_26년2월_6h만료_01</t>
  </si>
  <si>
    <t>26년2월설맞이_12h뒤쿠폰만료_dh1_26.02.05</t>
  </si>
  <si>
    <t>https://abr.ge/88s4p6</t>
  </si>
  <si>
    <t>event_sul_12hend_01</t>
  </si>
  <si>
    <t>설이벤트_26년2월_12h만료_01</t>
  </si>
  <si>
    <t>26년2월설맞이_d1뒤쿠폰만료_dh1_26.02.05</t>
  </si>
  <si>
    <t>https://abr.ge/vl5bee</t>
  </si>
  <si>
    <t>event_sul_1dend_01</t>
  </si>
  <si>
    <t>설이벤트_26년2월_1d만료_01</t>
  </si>
  <si>
    <t>26년2월설맞이_지역제한6h뒤쿠폰만료_dh1_26.02.05</t>
  </si>
  <si>
    <t>https://abr.ge/6gy6vwv</t>
  </si>
  <si>
    <t>event_sul_limit6h_01</t>
  </si>
  <si>
    <t>설이벤트_26년2월_제한6h만료_01</t>
  </si>
  <si>
    <t>26년2월설맞이_지역한정쿠폰만료_dh1_26.02.05</t>
  </si>
  <si>
    <t>https://abr.ge/qq08kx</t>
  </si>
  <si>
    <t>event_sul_limit_01</t>
  </si>
  <si>
    <t>설이벤트_26년2월_한정만료_01</t>
  </si>
  <si>
    <t>26년DM바이럴_아임박선생_sj_26.02.09</t>
  </si>
  <si>
    <t>https://abr.ge/qqr90x</t>
  </si>
  <si>
    <t>26년설맞이_오픈브메_sj1_26.02.09</t>
  </si>
  <si>
    <t>https://abr.ge/e3u2je5</t>
  </si>
  <si>
    <t>product_brand</t>
  </si>
  <si>
    <t>26년3월구독전환율높이기</t>
  </si>
  <si>
    <t>26년3월구독전환율높이기_브메_sj1_26.03.06</t>
  </si>
  <si>
    <t>https://abr.ge/txx8aq</t>
  </si>
  <si>
    <t>26년3월구독전환율높이기_B버전_브메_sj1_26.03.06</t>
  </si>
  <si>
    <t>https://abr.ge/4wxly3a</t>
  </si>
  <si>
    <t xml:space="preserve"> Social_alimtalk </t>
  </si>
  <si>
    <t>26년3월천안아산무료</t>
  </si>
  <si>
    <t>26년3월천안아산무료_A버전_sj1_26.03.09</t>
  </si>
  <si>
    <t>https://abr.ge/ulng4qm</t>
  </si>
  <si>
    <t>region_cvr_up_verA</t>
  </si>
  <si>
    <t>천안아산무료_A버전(혜택도착)_26년3월</t>
  </si>
  <si>
    <t>26년3월천안아산무료_B버전_sj1_26.03.09</t>
  </si>
  <si>
    <t>https://abr.ge/tlta56f</t>
  </si>
  <si>
    <t>region_cvr_up_verB</t>
  </si>
  <si>
    <t>천안아산무료_B버전(안쓰신분)_26년3월</t>
  </si>
  <si>
    <t>26년3월천안아산무료_C버전_sj1_26.03.09</t>
  </si>
  <si>
    <t>https://abr.ge/b4o2og</t>
  </si>
  <si>
    <t>region_cvr_up_verC</t>
  </si>
  <si>
    <t>천안아산무료_C버전(쿠폰만)_26년3월</t>
  </si>
  <si>
    <t>26년3월대전세종청주오픈</t>
  </si>
  <si>
    <t>26년3월대전세종청주 오픈_sj1_26.03.26</t>
  </si>
  <si>
    <t>https://abr.ge/a4fwspj</t>
  </si>
  <si>
    <t>26년3월대전세종청주사전모객</t>
  </si>
  <si>
    <t>26년3월대전세종청주 사전모객_sj1_26.03.26</t>
  </si>
  <si>
    <t>https://abr.ge/a8qv8q</t>
  </si>
  <si>
    <t>대전, 세종, 청주 지역에 한하여 광고 사전모객 진행, 구글폼에 남겨진 전화번호에만 발송</t>
  </si>
  <si>
    <t>26년3월대전세종청주 오픈_컨트롤_sj1_26.03.27</t>
  </si>
  <si>
    <t>https://abr.ge/3n1d2e</t>
  </si>
  <si>
    <t>26년3월대전세종청주 사전모객_B그룹_사전_sj1_26.03.31</t>
  </si>
  <si>
    <t>https://abr.ge/dpjtzc</t>
  </si>
  <si>
    <t>대전, 세종, 청주 텀 두고 발송 - 앱 설치 CTA위한 링크</t>
  </si>
  <si>
    <t>26년3월대전세종청주 사전모객_C그룹_사전_sj1_26.03.31</t>
  </si>
  <si>
    <t>https://abr.ge/y56r5lq</t>
  </si>
  <si>
    <t>26년4월프로모션</t>
  </si>
  <si>
    <t>4월프로모션_환경1버전_sj1_26.04.15</t>
  </si>
  <si>
    <t>https://abr.ge/7pybeom</t>
  </si>
  <si>
    <t>event_earth_remind01</t>
  </si>
  <si>
    <t>4월 프로모션 리마인드_지구1_26.04.16</t>
  </si>
  <si>
    <t>4월 프로모션 리마인드 신규</t>
  </si>
  <si>
    <t>4월프로모션_환경2버전_sj1_26.04.15</t>
  </si>
  <si>
    <t>https://abr.ge/1y0w5uh</t>
  </si>
  <si>
    <t>event_earth_remind02</t>
  </si>
  <si>
    <t>4월 프로모션 리마인드_지구2_26.04.16</t>
  </si>
  <si>
    <t>4월 프로모션 리마인드 기존</t>
  </si>
  <si>
    <t>4월프로모션_봄맞이1버전_sj1_26.04.15</t>
  </si>
  <si>
    <t>https://abr.ge/8jakmwr</t>
  </si>
  <si>
    <t>evt_spring_remind01</t>
  </si>
  <si>
    <t>4월 프로모션 리마인드_봄맞이1_26.04.16</t>
  </si>
  <si>
    <t>4월프로모션_봄맞이2버전_sj1_26.04.15</t>
  </si>
  <si>
    <t>https://abr.ge/nwk7wy</t>
  </si>
  <si>
    <t>evt_spring_remind02</t>
  </si>
  <si>
    <t>4월 프로모션 리마인드_봄맞이2_26.04.16</t>
  </si>
  <si>
    <t>4월프로모션_오픈환경_sj1_26.04.21</t>
  </si>
  <si>
    <t>https://abr.ge/j3ynx6</t>
  </si>
  <si>
    <t>4월프로모션_오픈봄맞이_sj1_26.04.21</t>
  </si>
  <si>
    <t>https://abr.ge/ijb7oid</t>
  </si>
  <si>
    <t>26년DM바이럴_이니투데이_mk1_26.04.29</t>
  </si>
  <si>
    <t>https://abr.ge/9w1m92</t>
  </si>
  <si>
    <t>26년 블로그to앱</t>
  </si>
  <si>
    <t>블로그to앱_공통 _26.04.30</t>
  </si>
  <si>
    <t>https://abr.ge/h752g4</t>
  </si>
  <si>
    <r>
      <rPr>
        <b/>
        <sz val="10"/>
        <color theme="1"/>
        <rFont val="Arial"/>
        <family val="2"/>
      </rPr>
      <t xml:space="preserve">인플루언서 트래킹 시트 사용법
1. 업로드 이후 D7에 지표 입력
2. 유튜브 트래킹 아래 함수 사용 
</t>
    </r>
    <r>
      <rPr>
        <sz val="10"/>
        <color theme="1"/>
        <rFont val="Arial"/>
        <family val="2"/>
      </rPr>
      <t>결과물 링크(YT) 에 링크 복붙 - 업로드 일자 셀에 아래 함수 삽입
=TRANSPOSE(getYouTubeStats(G2, 30))
3. YT 제외 IG, TK는 수동 지표 입력
※ 결과물 링크 (YT) 우측의 '업로드 일자' 수정 X 
변경 시 함수 깨져서 트래킹 지표들 날아감</t>
    </r>
  </si>
  <si>
    <t>내역</t>
  </si>
  <si>
    <t>매체</t>
  </si>
  <si>
    <t>협업 비용 (VAT 포함)</t>
  </si>
  <si>
    <t>발행 일</t>
  </si>
  <si>
    <t>결과물 링크(YT)</t>
  </si>
  <si>
    <t>기여 종료일</t>
  </si>
  <si>
    <t>제목</t>
  </si>
  <si>
    <t>조회수 D7</t>
  </si>
  <si>
    <t>좋아요 수 D7</t>
  </si>
  <si>
    <t xml:space="preserve">댓글 수 D7 </t>
  </si>
  <si>
    <t>구독자 수</t>
  </si>
  <si>
    <t>결과물 링크 (IG)</t>
  </si>
  <si>
    <t>조회수 D7 (IG)</t>
  </si>
  <si>
    <t>좋아요 D7 (IG)</t>
  </si>
  <si>
    <t>댓글 D7 (IG)</t>
  </si>
  <si>
    <t>팔로워 (IG)</t>
  </si>
  <si>
    <t>결과물 링크 (TK)</t>
  </si>
  <si>
    <t>조회수 D7 (TK)</t>
  </si>
  <si>
    <t>좋아요 D7 (TK)</t>
  </si>
  <si>
    <t>카테고리</t>
  </si>
  <si>
    <t>쿠폰 활용 / 댓글 이벤트 여부</t>
  </si>
  <si>
    <t>쿠폰 코드명</t>
  </si>
  <si>
    <t>민델리</t>
  </si>
  <si>
    <t>YT</t>
  </si>
  <si>
    <t>https://www.youtube.com/shorts/AgvN328OwoA</t>
  </si>
  <si>
    <t>리뷰/추천</t>
  </si>
  <si>
    <t>쿠폰, 댓글 이벤트</t>
  </si>
  <si>
    <t xml:space="preserve">MINDELI20 </t>
  </si>
  <si>
    <t>CPV 캠페인 집행</t>
  </si>
  <si>
    <t>엘베 광고(수원)</t>
  </si>
  <si>
    <t>옥외</t>
  </si>
  <si>
    <t>라이프스타일</t>
  </si>
  <si>
    <t>쿠폰</t>
  </si>
  <si>
    <t>원룸만들기</t>
  </si>
  <si>
    <t>IG</t>
  </si>
  <si>
    <t>https://www.instagram.com/reel/DLHWbDxRIaw/utm_source=ig_web_copy_link&amp;igsh=MzRlODBiNWFlZA==</t>
  </si>
  <si>
    <t xml:space="preserve">리뷰하는 미미쨩 </t>
  </si>
  <si>
    <t>YT, IG, TK</t>
  </si>
  <si>
    <t>https://www.youtube.com/shorts/wvRDxw3fsQ0</t>
  </si>
  <si>
    <t>https://www.instagram.com/reel/DLXI9emJkZk/utm_source=ig_web_copy_link&amp;igsh=MzRlODBiNWFlZA==</t>
  </si>
  <si>
    <t>https://www.tiktok.com/@review_mimizzang/video/7519938285775506696is_from_webapp=1&amp;sender_device=pc&amp;web_id=7456727815040517633</t>
  </si>
  <si>
    <t>GFA 구독료</t>
  </si>
  <si>
    <t>기타</t>
  </si>
  <si>
    <t>유하맘</t>
  </si>
  <si>
    <t>YT, IG</t>
  </si>
  <si>
    <t>https://www.youtube.com/shorts/yF1cSz1h-MU</t>
  </si>
  <si>
    <t>2025-08-01</t>
  </si>
  <si>
    <t>이벤트 있음👏🏻 분리수거 대행 커버링 #커버링 #분리수거 #분리수거대행 #워킹맘 #워킹파파 #분리수거앱 #이벤트 #댓글이벤트</t>
  </si>
  <si>
    <t>살림토끼</t>
  </si>
  <si>
    <t>YT, IG, TK, NTV</t>
  </si>
  <si>
    <t>https://www.youtube.com/shorts/wgWAEgRrIgk</t>
  </si>
  <si>
    <t>2025-08-29</t>
  </si>
  <si>
    <t>자취 1n년차가 요즘 빠진 삶의 질 급상승 서비스?</t>
  </si>
  <si>
    <t>https://www.instagram.com/reel/DMuePF7xWVZ/utm_source=ig_web_copy_link&amp;igsh=MzRlODBiNWFlZA==</t>
  </si>
  <si>
    <t>TOCCI20</t>
  </si>
  <si>
    <t>청산유수현</t>
  </si>
  <si>
    <t>https://www.youtube.com/shorts/cZryABkGdG0</t>
  </si>
  <si>
    <t>2025-08-24</t>
  </si>
  <si>
    <t>자취방에 말도없이 엄마가 찾아왔을때 대처법…</t>
  </si>
  <si>
    <t xml:space="preserve">송미니까지는 D7으로 측정 X (시트 없었음)
이후 건들부터는 D7 기준으로 트래킹 진행하기 </t>
  </si>
  <si>
    <t>리뷰한다 송미니</t>
  </si>
  <si>
    <t>https://youtube.com/shorts/qNg1SQTSO6Msi=fLhdhYOqxisSlhhx</t>
  </si>
  <si>
    <t>2025-08-30</t>
  </si>
  <si>
    <t>[광고] 여러분 이건 꼭 쓰세요!! 여름맞이 대청소 10분컷 커버링 #자취꿀팁</t>
  </si>
  <si>
    <t>https://www.instagram.com/reel/DMxGMCUP0nG/utm_source=ig_web_copy_link&amp;igsh=MzRlODBiNWFlZA==</t>
  </si>
  <si>
    <t>https://www.youtube.com/shorts/eKO9OcxF9IU</t>
  </si>
  <si>
    <t>2025-10-19</t>
  </si>
  <si>
    <t>아~ 이제 분리수거 안 해도 된다~ #커버링 #커버링쓰레기</t>
  </si>
  <si>
    <t>https://www.instagram.com/reel/DOxyL51EaO-/</t>
  </si>
  <si>
    <t>34만</t>
  </si>
  <si>
    <t>ONEROOM20</t>
  </si>
  <si>
    <t>YT, IG 댓글 이벤트</t>
  </si>
  <si>
    <t>인프피리뷰</t>
  </si>
  <si>
    <t>https://www.youtube.com/shorts/ZBlBwm2kQaI</t>
  </si>
  <si>
    <t>2025-11-09</t>
  </si>
  <si>
    <t>음식물 쓰레기부터 전자제품까지 다 버려도되는 신기한 봉투</t>
  </si>
  <si>
    <t>시은니야</t>
  </si>
  <si>
    <t>https://www.youtube.com/shorts/G9Kad7XyB98</t>
  </si>
  <si>
    <t>2025-11-21</t>
  </si>
  <si>
    <t>강아지 키울 때 제일 난감한 점 ㄷㄷ</t>
  </si>
  <si>
    <t xml:space="preserve"> </t>
  </si>
  <si>
    <t>댓글 이벤트, 쿠폰</t>
  </si>
  <si>
    <t>2차 활용 1개월 구매</t>
  </si>
  <si>
    <t>셀프캠 모델 (이다인님)</t>
  </si>
  <si>
    <t>셀프캠</t>
  </si>
  <si>
    <t>3.3% 원천징수</t>
  </si>
  <si>
    <t>셀프캠 모델 (임세은님)</t>
  </si>
  <si>
    <t>시은니야 2차 활용</t>
  </si>
  <si>
    <t xml:space="preserve">    </t>
  </si>
  <si>
    <t>2차 활용 1개월 추가</t>
  </si>
  <si>
    <t>슈퍼차트 11월 PA 10명</t>
  </si>
  <si>
    <t>슈퍼) 이천커플</t>
  </si>
  <si>
    <t>https://www.instagram.com/reel/DRRb5v4k5iE/igsh=MTNkZ2Z4Ymtrc3BvdA==</t>
  </si>
  <si>
    <t>LEECHEON20</t>
  </si>
  <si>
    <t>11월 PA</t>
  </si>
  <si>
    <t>슈퍼) 찐빵</t>
  </si>
  <si>
    <t>https://www.instagram.com/reel/DRY0em0E6vH/</t>
  </si>
  <si>
    <t>JJBB20</t>
  </si>
  <si>
    <t>슈퍼) 오순의집</t>
  </si>
  <si>
    <t>https://www.instagram.com/reel/DRbvLDSj1fT/</t>
  </si>
  <si>
    <t>OSOON20</t>
  </si>
  <si>
    <t>슈퍼) 블레스홈</t>
  </si>
  <si>
    <t>https://www.instagram.com/reel/DRcBS3lj3LQ/</t>
  </si>
  <si>
    <t>BLESS20</t>
  </si>
  <si>
    <t>슈퍼) 우주맘</t>
  </si>
  <si>
    <t>https://www.instagram.com/reel/DRdkALxk_rO/igsh=MTBldzlsY3o3Z2dxcg==</t>
  </si>
  <si>
    <t>WOOJU20</t>
  </si>
  <si>
    <t>슈퍼) 포차코</t>
  </si>
  <si>
    <t>https://www.instagram.com/reel/DRg53OcEiac/igsh=MWIxYm41NzZnZHhtbQ%3D%3D</t>
  </si>
  <si>
    <t>CHACO20</t>
  </si>
  <si>
    <t>슈퍼) 뽀또</t>
  </si>
  <si>
    <t>https://www.instagram.com/reel/DRjdlhyD-Bk/</t>
  </si>
  <si>
    <t>BBODDO20</t>
  </si>
  <si>
    <t>슈퍼) 채린</t>
  </si>
  <si>
    <t>https://www.instagram.com/reel/DRjrNCpkyVf/igsh=MWk2Nmh2bzgza3VlcQ%3D%3D</t>
  </si>
  <si>
    <t>CHENNI20</t>
  </si>
  <si>
    <t>슈퍼) 솔트네</t>
  </si>
  <si>
    <t>https://www.instagram.com/reel/DRt8M6fky6i/</t>
  </si>
  <si>
    <t>SALT20</t>
  </si>
  <si>
    <t>슈퍼) 지지팀장</t>
  </si>
  <si>
    <t>https://www.instagram.com/reel/DR9Ur-mD44Z/</t>
  </si>
  <si>
    <t>ZEE20</t>
  </si>
  <si>
    <t>슈퍼) 11월 PA(5명)</t>
  </si>
  <si>
    <t>2차 활용 구매</t>
  </si>
  <si>
    <t>슈퍼) 11월 PA(2명)</t>
  </si>
  <si>
    <t>슈퍼차트 12월 프로모션 PA 7명</t>
  </si>
  <si>
    <t>슈퍼) 유진리</t>
  </si>
  <si>
    <t>https://www.instagram.com/u.jinli/reels/</t>
  </si>
  <si>
    <t>브이로거</t>
  </si>
  <si>
    <t>12월 프로모션</t>
  </si>
  <si>
    <t>슈퍼) 미니홈</t>
  </si>
  <si>
    <t>https://www.instagram.com/p/DSBt4TFklU1/</t>
  </si>
  <si>
    <t>슈퍼) 신홍부부</t>
  </si>
  <si>
    <t>https://www.instagram.com/reel/DSHjpz0EVjR/igsh=N3pwOXFtcjM5ZmZx</t>
  </si>
  <si>
    <t>슈퍼) 베르진</t>
  </si>
  <si>
    <t>https://www.instagram.com/reel/DSHlSHJCZZr/</t>
  </si>
  <si>
    <t>슈퍼) No money Yes vibe</t>
  </si>
  <si>
    <t>https://www.instagram.com/reel/DSPedTlj3h8/</t>
  </si>
  <si>
    <t>슈퍼) 온슬</t>
  </si>
  <si>
    <t>https://www.instagram.com/reel/DSR-js7kvNT/</t>
  </si>
  <si>
    <t>슈퍼) 배주부</t>
  </si>
  <si>
    <t>https://www.instagram.com/reel/DSSAtrSkkUi/</t>
  </si>
  <si>
    <t>슈퍼) 12월 PA(7명)</t>
  </si>
  <si>
    <t>2차 활용 3개월 구매</t>
  </si>
  <si>
    <t>크리플래닛 1월 PA 20명</t>
  </si>
  <si>
    <t>새로미</t>
  </si>
  <si>
    <t>https://www.instagram.com/reel/DS-K7MkkyFG/</t>
  </si>
  <si>
    <t>COVERING20</t>
  </si>
  <si>
    <t>2차 활용 6개월 포함</t>
  </si>
  <si>
    <t>https://www.instagram.com/p/DTB8M8Rj7uR/</t>
  </si>
  <si>
    <t>https://www.instagram.com/p/DTIDIqPj1oz/</t>
  </si>
  <si>
    <t>https://www.instagram.com/p/DTKaDOqE7Bi/</t>
  </si>
  <si>
    <t>https://www.instagram.com/p/DTNiBRfku_J/</t>
  </si>
  <si>
    <t>뭉글이</t>
  </si>
  <si>
    <t>https://www.instagram.com/reel/DTPZy5qCYWB/igsh=Z3RoNXNra3RhdWd2</t>
  </si>
  <si>
    <t>미요</t>
  </si>
  <si>
    <t>https://www.instagram.com/reel/DTNTLkmkwyU/</t>
  </si>
  <si>
    <t>밍지의방</t>
  </si>
  <si>
    <t>https://www.instagram.com/reel/DTPd5pcgeq3/</t>
  </si>
  <si>
    <t>이지홈</t>
  </si>
  <si>
    <t>https://www.instagram.com/p/DTaHAdcEp4y/</t>
  </si>
  <si>
    <t>봄몽</t>
  </si>
  <si>
    <t>https://www.instagram.com/reel/DTZ6-NykxfQ/</t>
  </si>
  <si>
    <t>해리</t>
  </si>
  <si>
    <t>https://www.instagram.com/p/DTc-vhXkotE/</t>
  </si>
  <si>
    <t>시온</t>
  </si>
  <si>
    <t>https://www.instagram.com/p/DTc5Ov8kmiX/</t>
  </si>
  <si>
    <t>세띠</t>
  </si>
  <si>
    <t>https://www.instagram.com/p/DTcjDdbEf7s/</t>
  </si>
  <si>
    <t>조사마</t>
  </si>
  <si>
    <t>https://www.instagram.com/reel/DTcqFKSErh0/</t>
  </si>
  <si>
    <t>김다빈</t>
  </si>
  <si>
    <t>https://www.instagram.com/p/DThdSOdET9i/</t>
  </si>
  <si>
    <t>루루뷰티</t>
  </si>
  <si>
    <t>https://www.instagram.com/p/DTfFvAHD7q2/</t>
  </si>
  <si>
    <t>비지하우스</t>
  </si>
  <si>
    <t>https://www.instagram.com/p/DTh4G6vk64K/</t>
  </si>
  <si>
    <t>베베엘리</t>
  </si>
  <si>
    <t>https://www.instagram.com/reel/DTiOmWTif1T/</t>
  </si>
  <si>
    <t>수수룸</t>
  </si>
  <si>
    <t>https://www.instagram.com/reel/DTkIy1CEs8N/</t>
  </si>
  <si>
    <t>달소유</t>
  </si>
  <si>
    <t>https://www.instagram.com/p/DTkRcjaARK3/</t>
  </si>
  <si>
    <t>크리플래닛 2월 PA 5명</t>
  </si>
  <si>
    <t>진형</t>
  </si>
  <si>
    <t>https://www.instagram.com/p/DU7eUYlkf6p/</t>
  </si>
  <si>
    <t>원어비</t>
  </si>
  <si>
    <t>https://www.instagram.com/reel/DU7_2NAEfIi/</t>
  </si>
  <si>
    <t>데일리리본</t>
  </si>
  <si>
    <t>https://www.instagram.com/p/DU9qcYEE0He/</t>
  </si>
  <si>
    <t>레이미네</t>
  </si>
  <si>
    <t>https://www.instagram.com/p/DU-O6NKEbzP/</t>
  </si>
  <si>
    <t>수빈</t>
  </si>
  <si>
    <t>https://www.instagram.com/reel/DU-iyUgkVKb/</t>
  </si>
  <si>
    <t>슈퍼차트 2월 DM 바이럴</t>
  </si>
  <si>
    <t>살림을 더하다</t>
  </si>
  <si>
    <t>https://www.instagram.com/reel/DVN_s-zkojx/</t>
  </si>
  <si>
    <t>자동 DM 발송 바이럴</t>
  </si>
  <si>
    <t>호하우스</t>
  </si>
  <si>
    <t>https://www.instagram.com/reel/DU8H1GoEqHA/</t>
  </si>
  <si>
    <t>링홈</t>
  </si>
  <si>
    <t>https://www.instagram.com/reel/DVN-GFJEx1N/</t>
  </si>
  <si>
    <t>비앳홈</t>
  </si>
  <si>
    <t>https://www.instagram.com/reel/DVN_uTOk9f7/</t>
  </si>
  <si>
    <t>아임박선생</t>
  </si>
  <si>
    <t>https://www.instagram.com/reel/DVGQRB4kprW/?utm_source=ig_web_copy_link&amp;igsh=MzRlODBiNWFlZA==</t>
  </si>
  <si>
    <t>슈퍼차트 3월 PA 7명</t>
  </si>
  <si>
    <t>다미</t>
  </si>
  <si>
    <t>https://www.instagram.com/reel/DWTTdyAkTwx/</t>
  </si>
  <si>
    <t>살림알림</t>
  </si>
  <si>
    <t>https://www.instagram.com/reel/DWTkEPNkf30/</t>
  </si>
  <si>
    <t>채다경</t>
  </si>
  <si>
    <t>https://www.instagram.com/reel/DWTdxBrE0qT/</t>
  </si>
  <si>
    <t>주도연</t>
  </si>
  <si>
    <t>https://www.instagram.com/reel/DWTZQYRkzBj/</t>
  </si>
  <si>
    <t>비키니보이즈</t>
  </si>
  <si>
    <t>https://www.instagram.com/reel/DWTYwtRCatK/</t>
  </si>
  <si>
    <t>예능</t>
  </si>
  <si>
    <t>로운</t>
  </si>
  <si>
    <t>https://www.instagram.com/p/DWWIjfhD3zD/</t>
  </si>
  <si>
    <t>멍지</t>
  </si>
  <si>
    <t>https://www.instagram.com/p/DWWMz3pmvzU/</t>
  </si>
  <si>
    <t>야호 3월 PA 자동DM 3명</t>
  </si>
  <si>
    <t>남솔지</t>
  </si>
  <si>
    <t>https://www.instagram.com/p/DWWOjICE79k/</t>
  </si>
  <si>
    <t>김윤정</t>
  </si>
  <si>
    <t>https://www.instagram.com/p/DWXfwe7Eurc/</t>
  </si>
  <si>
    <t>권세혁</t>
  </si>
  <si>
    <t>https://www.instagram.com/p/DWXlvM_Eqk-/</t>
  </si>
  <si>
    <t>야호 4월 PA 육아 5명</t>
  </si>
  <si>
    <t>이아현</t>
  </si>
  <si>
    <t>https://www.instagram.com/p/DXawkkuk53F/</t>
  </si>
  <si>
    <t>김보라</t>
  </si>
  <si>
    <t>https://www.instagram.com/reel/DXa3_meS5Pk/?igsh=ZmVqc29ubW9wNjVk</t>
  </si>
  <si>
    <t>서혜진</t>
  </si>
  <si>
    <t>https://www.instagram.com/reel/DXa17vLTFpt/</t>
  </si>
  <si>
    <t>김선미</t>
  </si>
  <si>
    <t>https://www.instagram.com/reel/DXbxhh_EnF9/?igsh=bmQxNTg3bWE2ZGFx</t>
  </si>
  <si>
    <t>야호 4월 PA 환경 3명</t>
  </si>
  <si>
    <t>류소향</t>
  </si>
  <si>
    <t>https://www.instagram.com/reel/DXa1ffNjyCf/?igsh=NXZnemt0NmY0YzFo</t>
  </si>
  <si>
    <t>홍우열</t>
  </si>
  <si>
    <t>https://www.instagram.com/reel/DXdVdNtCV7s/</t>
  </si>
  <si>
    <t>부기빌리지</t>
  </si>
  <si>
    <t>https://www.instagram.com/reel/DXbcT9ZkQ3C/?igsh=MXBrMXBoOHF3MDJpbg%3D%3D</t>
  </si>
  <si>
    <t>대행사명</t>
  </si>
  <si>
    <t>협업 여부</t>
  </si>
  <si>
    <t>소개서</t>
  </si>
  <si>
    <t>최소집행금액</t>
  </si>
  <si>
    <t>커뮤니케이션</t>
  </si>
  <si>
    <t>가격 경쟁력</t>
  </si>
  <si>
    <t>리스트업 퀄리티</t>
  </si>
  <si>
    <t>특이 사항</t>
  </si>
  <si>
    <t>드랍사유</t>
  </si>
  <si>
    <t>슈퍼차트</t>
  </si>
  <si>
    <t>드랍</t>
  </si>
  <si>
    <t>2025 슈퍼차트 숏폼 서비스 소개서 .pdf</t>
  </si>
  <si>
    <t>500만원 (패키지)</t>
  </si>
  <si>
    <t>원활, 빠름</t>
  </si>
  <si>
    <t>상대적으로 낮음</t>
  </si>
  <si>
    <t>좋음</t>
  </si>
  <si>
    <t>메가, PA 등 다양하게 협업 중</t>
  </si>
  <si>
    <t>26년 3월까지만 협업. 국내 사업 철수.</t>
  </si>
  <si>
    <t>크리플래닛</t>
  </si>
  <si>
    <t>현재 진행</t>
  </si>
  <si>
    <t>[크리플래닛] 서비스 소개서_26.1Q.pdf</t>
  </si>
  <si>
    <t>조율 가능</t>
  </si>
  <si>
    <t>종종 확인 늦음</t>
  </si>
  <si>
    <t>마이크로 PA 단가 좋음, 클린본 수급</t>
  </si>
  <si>
    <t>뮤즈바이</t>
  </si>
  <si>
    <t>뮤즈바이_서비스 소개서_v1.pdf</t>
  </si>
  <si>
    <t>300만원</t>
  </si>
  <si>
    <t>상대적으로 높음</t>
  </si>
  <si>
    <t>보통</t>
  </si>
  <si>
    <t>피드백까지 풀패키지 대행</t>
  </si>
  <si>
    <t>뷰티 인플루언서 위주. 타 대행사 대비 대행 비용 과도하게 높음.</t>
  </si>
  <si>
    <t>DIA tv(MCN)</t>
  </si>
  <si>
    <t>CJ ENM_2025 상반기 DIA TV 소개서_F_250630.pdf</t>
  </si>
  <si>
    <t>인플에 따라 상이</t>
  </si>
  <si>
    <t>불편할 정도</t>
  </si>
  <si>
    <t>평균</t>
  </si>
  <si>
    <t>CJ ENM, 방송 PPL 추천</t>
  </si>
  <si>
    <t>TV cf, 메가 인플루언서 위주. 소통 원활하지 않음. 가격 메리트 딱히 없음. 대행 범위 기대 X.</t>
  </si>
  <si>
    <t>S&amp;A 엔터(MCN)</t>
  </si>
  <si>
    <t>[S&amp;A Ent] 2월 크리에이터 소개서.pdf</t>
  </si>
  <si>
    <t>2,500만원 (패키지)</t>
  </si>
  <si>
    <t>나쁨</t>
  </si>
  <si>
    <t>소속 크리에이터 개별 진행 가능</t>
  </si>
  <si>
    <t>소속 인플루언서 한정 비용 괜찮음. 대형 패키지는 PA에 적합하지 않음.</t>
  </si>
  <si>
    <t>투캐럿</t>
  </si>
  <si>
    <t>[Two Carrot]회사소개서_01.pdf</t>
  </si>
  <si>
    <t>마이크로엔 적합하지 않음</t>
  </si>
  <si>
    <t>피처링</t>
  </si>
  <si>
    <t>이전 25년 6월 경 컨택 이력 있음, BUT 대행 비용 비싸서 드랍. 직접 인플루언서 서칭할 수 있는 플랫폼</t>
  </si>
  <si>
    <t>야호 엔터/AES</t>
  </si>
  <si>
    <t>AES 인플루언서 마케팅 (2026).pdf</t>
  </si>
  <si>
    <t>300만원(8명)</t>
  </si>
  <si>
    <t>2차 활용 6개월, 클린본 포함, 1,000만원 이상 선 계약 시 10% 할인</t>
  </si>
  <si>
    <t>인포크</t>
  </si>
  <si>
    <t>https://www.figma.com/deck/sFOa8Aft1340MgxVjdlO3u/%EC%9D%B8%ED%8F%AC%ED%81%AC-%EC%85%80%EB%A0%89%ED%8B%B0%EB%93%9C-%EB%A6%B4%EC%8A%A4-%EC%83%81%ED%92%88?node-id=108-45&amp;t=iH5aZhSh5tx94IjY-1</t>
  </si>
  <si>
    <t>300만원(10명)</t>
  </si>
  <si>
    <t>2차 활용 6개월, 클린본 포함</t>
  </si>
  <si>
    <t>휴대폰 번호</t>
  </si>
  <si>
    <t>ID</t>
  </si>
  <si>
    <t>리뷰 작성일자</t>
  </si>
  <si>
    <t>구분</t>
  </si>
  <si>
    <t>상품</t>
  </si>
  <si>
    <t>경품 발송 여부</t>
  </si>
  <si>
    <t>안녕하세요! 커버링입니다.
방금 '소문내기 이벤트' 참여 기념 쿠폰을
휴대폰으로 전송드렸으니 확인 부탁드려요~</t>
  </si>
  <si>
    <t>유댕</t>
  </si>
  <si>
    <t>25.03.07</t>
  </si>
  <si>
    <t>블로그</t>
  </si>
  <si>
    <t>5천원 cu 쿠폰</t>
  </si>
  <si>
    <t>발송 완료</t>
  </si>
  <si>
    <t>호맹</t>
  </si>
  <si>
    <t>25.03.12</t>
  </si>
  <si>
    <t>앱리뷰</t>
  </si>
  <si>
    <t>커피 쿠폰</t>
  </si>
  <si>
    <t>지니</t>
  </si>
  <si>
    <t>25.03.16</t>
  </si>
  <si>
    <t>PURPLEZZ6</t>
  </si>
  <si>
    <t>25.04.02</t>
  </si>
  <si>
    <t>경품 발송</t>
  </si>
  <si>
    <t>010-8748-8579</t>
  </si>
  <si>
    <t>권다윤</t>
  </si>
  <si>
    <t>010-4103-9093</t>
  </si>
  <si>
    <t>팽두식</t>
  </si>
  <si>
    <t>25.04.13</t>
  </si>
  <si>
    <t xml:space="preserve">010-2684-0213
</t>
  </si>
  <si>
    <t>바나나킥</t>
  </si>
  <si>
    <t>25.04.21</t>
  </si>
  <si>
    <t>젴쿠</t>
  </si>
  <si>
    <t>25.05.08</t>
  </si>
  <si>
    <t>010-5444-8911</t>
  </si>
  <si>
    <t>밍밍</t>
  </si>
  <si>
    <t>25.05.09</t>
  </si>
  <si>
    <t xml:space="preserve">010-6769-5144 </t>
  </si>
  <si>
    <t>hye</t>
  </si>
  <si>
    <t>25.05.29</t>
  </si>
  <si>
    <t>경품 발송 완료</t>
  </si>
  <si>
    <t>유튜브: 1만 5천원 CU 편의점 쿠폰</t>
  </si>
  <si>
    <t>10월 소문내기 이벤트 참여자</t>
  </si>
  <si>
    <t>010-2838-5762</t>
  </si>
  <si>
    <t>문지현</t>
  </si>
  <si>
    <t>2025. 6.16</t>
  </si>
  <si>
    <t>인스타 릴스: 1만원 CU 편의점 쿠폰</t>
  </si>
  <si>
    <t>010-2332-9196</t>
  </si>
  <si>
    <t>져미</t>
  </si>
  <si>
    <t>2025. 6.20</t>
  </si>
  <si>
    <t>블로그: 5천원 CU 편의점 쿠폰</t>
  </si>
  <si>
    <t xml:space="preserve">010-2422-9387 </t>
  </si>
  <si>
    <t>성정혜</t>
  </si>
  <si>
    <t>편의점 쿠폰</t>
  </si>
  <si>
    <t>010-5678-8448</t>
  </si>
  <si>
    <t>2025. 6.19</t>
  </si>
  <si>
    <t>010-9264-9346</t>
  </si>
  <si>
    <t>미니멀리스트도전</t>
  </si>
  <si>
    <t>2025. 7.01</t>
  </si>
  <si>
    <t>010-9254-6773</t>
  </si>
  <si>
    <t>송요리</t>
  </si>
  <si>
    <t>010-8791-9083</t>
  </si>
  <si>
    <t>장주연</t>
  </si>
  <si>
    <t>010-2855-9925</t>
  </si>
  <si>
    <t>나기</t>
  </si>
  <si>
    <t>2025.9.30</t>
  </si>
  <si>
    <t>인스타 릴스</t>
  </si>
  <si>
    <t>1만원 편의점 쿠폰</t>
  </si>
  <si>
    <t xml:space="preserve">010-4710-7169
</t>
  </si>
  <si>
    <t>김백미</t>
  </si>
  <si>
    <t>5천원 cu 편의점 쿠폰</t>
  </si>
  <si>
    <t>010-3664-9981</t>
  </si>
  <si>
    <t xml:space="preserve">이선경 </t>
  </si>
  <si>
    <t>010-6669-8794</t>
  </si>
  <si>
    <t>백경화</t>
  </si>
  <si>
    <t>010-3011-7844</t>
  </si>
  <si>
    <t>장미</t>
  </si>
  <si>
    <t>010-5351-6125</t>
  </si>
  <si>
    <t>루나</t>
  </si>
  <si>
    <t xml:space="preserve"> 010-9079-8490</t>
  </si>
  <si>
    <t>김화신</t>
  </si>
  <si>
    <t>010-8536-1894</t>
  </si>
  <si>
    <t>뚜이딸기</t>
  </si>
  <si>
    <t>010-4653-3698</t>
  </si>
  <si>
    <t>강예정</t>
  </si>
  <si>
    <t>010-7657-2163</t>
  </si>
  <si>
    <t>정예슬</t>
  </si>
  <si>
    <t>010-8733-3878</t>
  </si>
  <si>
    <t>온다루</t>
  </si>
  <si>
    <t>010-7751-7151</t>
  </si>
  <si>
    <t>장미연</t>
  </si>
  <si>
    <t>010-8264-6981</t>
  </si>
  <si>
    <t>임명</t>
  </si>
  <si>
    <t>010-3042-2559</t>
  </si>
  <si>
    <t>강민철</t>
  </si>
  <si>
    <t xml:space="preserve"> 010-8845-1213</t>
  </si>
  <si>
    <t>김보미</t>
  </si>
  <si>
    <t>유튜브</t>
  </si>
  <si>
    <t>1만 5천원 cu 편의점 쿠폰</t>
  </si>
  <si>
    <t>최신화 날짜</t>
  </si>
  <si>
    <t>2026.03.04</t>
  </si>
  <si>
    <t>[세트 규칙]</t>
  </si>
  <si>
    <t>[적용 예시]</t>
  </si>
  <si>
    <t>os</t>
  </si>
  <si>
    <r>
      <rPr>
        <sz val="10"/>
        <color theme="0"/>
        <rFont val="맑은 고딕"/>
        <family val="3"/>
        <charset val="129"/>
      </rPr>
      <t>세트</t>
    </r>
    <r>
      <rPr>
        <sz val="10"/>
        <color theme="0"/>
        <rFont val="Calibri"/>
        <family val="2"/>
      </rPr>
      <t xml:space="preserve"> </t>
    </r>
    <r>
      <rPr>
        <sz val="10"/>
        <color theme="0"/>
        <rFont val="맑은 고딕"/>
        <family val="3"/>
        <charset val="129"/>
      </rPr>
      <t>목표</t>
    </r>
  </si>
  <si>
    <t>세팅_ 타겟</t>
  </si>
  <si>
    <t>콘텐츠_형식</t>
  </si>
  <si>
    <t>콘텐츠_타겟</t>
  </si>
  <si>
    <t>소구점</t>
  </si>
  <si>
    <t>단위</t>
  </si>
  <si>
    <t>캠페인</t>
  </si>
  <si>
    <t>aos</t>
  </si>
  <si>
    <t>install</t>
  </si>
  <si>
    <t>all</t>
  </si>
  <si>
    <t>맘</t>
  </si>
  <si>
    <t>음식물</t>
  </si>
  <si>
    <t>OS_타겟_캠페인 종류(목표)_라이브 날짜</t>
  </si>
  <si>
    <t>ios</t>
  </si>
  <si>
    <t>registration</t>
  </si>
  <si>
    <t>re</t>
  </si>
  <si>
    <t>vd</t>
  </si>
  <si>
    <t>노인</t>
  </si>
  <si>
    <t>폐기물</t>
  </si>
  <si>
    <t>iOS_논타겟_앱홍보(구매)_25.09.26</t>
  </si>
  <si>
    <t>purchase</t>
  </si>
  <si>
    <t>lookalike</t>
  </si>
  <si>
    <t>im</t>
  </si>
  <si>
    <t>직장</t>
  </si>
  <si>
    <t>화장품</t>
  </si>
  <si>
    <t>AOS_논타겟_앱홍보(구매)_25.01.23</t>
  </si>
  <si>
    <t>slide</t>
  </si>
  <si>
    <t xml:space="preserve">임산부 </t>
  </si>
  <si>
    <t>프로모션</t>
  </si>
  <si>
    <t>복합소구</t>
  </si>
  <si>
    <t>광고세트</t>
  </si>
  <si>
    <t>인플루언서 광고세트</t>
  </si>
  <si>
    <t>인플루언서</t>
  </si>
  <si>
    <t>os_최적화 목표_타겟_형식_세트명(소구점)_마케터_라이브 날짜</t>
  </si>
  <si>
    <t>os_최적화 목표_타겟_형식_인플루언서명_소구점(인플루언서)_마케터_라이브 날짜</t>
  </si>
  <si>
    <t xml:space="preserve">대형폐기물 </t>
  </si>
  <si>
    <t>ios_purchase_all_vd_유통기한(음식물)_hn1_25.09.26</t>
  </si>
  <si>
    <t xml:space="preserve">aos_purchase_all_vd_시은니야_애견(인플루언서)_sj1_25.11.04
</t>
  </si>
  <si>
    <t>ios_purchase_all_vd_써야이유(폐기물)_hn1_25.09.26</t>
  </si>
  <si>
    <t>ios_purchase_all_im_시은니야_후킹(인플루언서)_dh1_25.10.31</t>
  </si>
  <si>
    <t>ios_purchase_all_vd_대청소(화장품)_hn1_25.09.26</t>
  </si>
  <si>
    <t>ios_purchase_all_vd_맘_유통기한(음식물)_hn1_25.09.26</t>
  </si>
  <si>
    <t>인플루언서 소재</t>
  </si>
  <si>
    <t>ios_purchase_all_vd_노인_써야이유(폐기물)_hn1_25.09.26</t>
  </si>
  <si>
    <t>os_형식_타겟_인플루언서명_세트소구점(개별소구점)번호_마케터_라이브 날짜</t>
  </si>
  <si>
    <t>ios_purchase_all_vd_직장_대청소(화장품)_hn1_25.09.26</t>
  </si>
  <si>
    <t>ios_vd_all_시은니야_애견(대리석)2_sj1_25.11.04</t>
  </si>
  <si>
    <t>ios_purchase_all_vd_이사워킹맘(대형폐기물)_sj1_26.03.04</t>
  </si>
  <si>
    <t>ios_im_all_시은니야_후킹(특가)1_dh1_25.10.31</t>
  </si>
  <si>
    <t>[마케터 고유 번호]</t>
  </si>
  <si>
    <t>이름</t>
  </si>
  <si>
    <t>고유번호</t>
  </si>
  <si>
    <t>소재</t>
  </si>
  <si>
    <t>PA 광고세트</t>
  </si>
  <si>
    <t>이도형</t>
  </si>
  <si>
    <t>os_형식_타겟_세트명(세부소구점)번호_마케터_라이브 날짜</t>
  </si>
  <si>
    <r>
      <rPr>
        <sz val="11"/>
        <color theme="1"/>
        <rFont val="Calibri"/>
        <family val="2"/>
      </rPr>
      <t xml:space="preserve">os_최적화 목표_타겟_형식_인플루언서PA(N월 </t>
    </r>
    <r>
      <rPr>
        <sz val="11"/>
        <color rgb="FF999999"/>
        <rFont val="Calibri"/>
        <family val="2"/>
      </rPr>
      <t>특징</t>
    </r>
    <r>
      <rPr>
        <sz val="11"/>
        <color theme="1"/>
        <rFont val="Calibri"/>
        <family val="2"/>
      </rPr>
      <t>)세트번호_마케터_라이브 날짜</t>
    </r>
  </si>
  <si>
    <t>박성진</t>
  </si>
  <si>
    <t>ios_vd_all_유통기한(껍질)1_hn1_25.09.26</t>
  </si>
  <si>
    <t>aos_purchase_all_vd_인플루언서PA(3월)1_hn1_26.03.04</t>
  </si>
  <si>
    <t>김하늘</t>
  </si>
  <si>
    <t>ios_vd_all_유통기한(배달음식)2_hn1_25.09.26</t>
  </si>
  <si>
    <t>ios_purchase_lookalike(7%)_vd_인플루언서PA(4월 프로모션)1_hn1_26.03.04</t>
  </si>
  <si>
    <t>최초롱</t>
  </si>
  <si>
    <t>cr1</t>
  </si>
  <si>
    <t>ios_vd_all_유통기한(냉동식품)3_hn1_25.09.26</t>
  </si>
  <si>
    <t>손나경</t>
  </si>
  <si>
    <t>aos_vd_all_유통기한(껍질)1_hn1_25.09.26</t>
  </si>
  <si>
    <t>PA 소재</t>
  </si>
  <si>
    <t>김민경</t>
  </si>
  <si>
    <t>aos_vd_all_유통기한(배달음식)2_hn1_25.09.26</t>
  </si>
  <si>
    <t>os_형식_타겟_인플루언서명(N월)번호_마케터_라이브 날짜</t>
  </si>
  <si>
    <t>aos_vd_all_유통기한(냉동식품)3_hn1_25.09.26</t>
  </si>
  <si>
    <t>aos_vd_all_레이미네(2월)4_hn1_26.02.23</t>
  </si>
  <si>
    <t>aos_vd_all_권세혁(3월)10_hn1_26.03.26</t>
  </si>
  <si>
    <t>영상 파일명</t>
  </si>
  <si>
    <t>PA 영상 파일명</t>
  </si>
  <si>
    <t>세트명(소구점)버전번호_VF_마케터_라이브 날짜</t>
  </si>
  <si>
    <t>인플루언서명_N월PA(특징)번호_VF_마케터_라이브 날짜</t>
  </si>
  <si>
    <t>신불편해(반찬통)ver2_VF_sj1_25.01.16</t>
  </si>
  <si>
    <t>다미_3월PA(친구초대)1_VF_hn1_26.03.26</t>
  </si>
  <si>
    <t>시은니야(대리석)ver2_VF_sj1_25.01.16</t>
  </si>
  <si>
    <t>김윤정_3월PA(친구초대)9_VF_hn1_26.03.26</t>
  </si>
  <si>
    <t>커버링 퍼널 &amp; CRM 알림톡 시나리오</t>
  </si>
  <si>
    <t>유입</t>
  </si>
  <si>
    <t>→</t>
  </si>
  <si>
    <t>앱 다운로드</t>
  </si>
  <si>
    <t>온보딩</t>
  </si>
  <si>
    <t>회원가입</t>
  </si>
  <si>
    <t>무료 봉투 신청</t>
  </si>
  <si>
    <t>첫 수거 신청</t>
  </si>
  <si>
    <t>재 수거 신청</t>
  </si>
  <si>
    <t>회원가입 완료</t>
  </si>
  <si>
    <t>무료 봉투 신청 완료</t>
  </si>
  <si>
    <t>첫 신청 완료</t>
  </si>
  <si>
    <t>조건 없이 정기 발송</t>
  </si>
  <si>
    <t>이벤트</t>
  </si>
  <si>
    <t>무료 봉투 배송 완료</t>
  </si>
  <si>
    <t>만족도 조사 설문 알림톡 발송</t>
  </si>
  <si>
    <t>매주 20% 할인 쿠폰 (20시 발송)</t>
  </si>
  <si>
    <t>쿠폰명</t>
  </si>
  <si>
    <r>
      <rPr>
        <sz val="11"/>
        <color theme="1"/>
        <rFont val="Malgun Gothic"/>
        <family val="3"/>
        <charset val="129"/>
      </rPr>
      <t>웰컴쿠폰 (2,500원 할인) /</t>
    </r>
    <r>
      <rPr>
        <b/>
        <sz val="11"/>
        <color rgb="FF3C78D8"/>
        <rFont val="Malgun Gothic"/>
        <family val="3"/>
        <charset val="129"/>
      </rPr>
      <t xml:space="preserve"> 가입 후 28일 뒤 만료</t>
    </r>
  </si>
  <si>
    <t>회원 등급 조정 시 알림톡 (16시 발송)</t>
  </si>
  <si>
    <t>기본 규칙</t>
  </si>
  <si>
    <t>발송 조건</t>
  </si>
  <si>
    <t>마케팅 수신 0</t>
  </si>
  <si>
    <r>
      <rPr>
        <sz val="11"/>
        <color rgb="FFC00000"/>
        <rFont val="Arial"/>
        <family val="2"/>
      </rPr>
      <t xml:space="preserve">강제 발송 </t>
    </r>
    <r>
      <rPr>
        <sz val="11"/>
        <color theme="1"/>
        <rFont val="Arial"/>
        <family val="2"/>
      </rPr>
      <t>/ 회원 탈퇴 제외/</t>
    </r>
    <r>
      <rPr>
        <b/>
        <sz val="11"/>
        <color rgb="FF4A86E8"/>
        <rFont val="Arial"/>
        <family val="2"/>
      </rPr>
      <t xml:space="preserve"> 쿠폰함에 쿠폰이 없는 경우 발송 X</t>
    </r>
  </si>
  <si>
    <t>1. 탈퇴한 회원에게는 푸시 발송 X</t>
  </si>
  <si>
    <t>발송 일시</t>
  </si>
  <si>
    <t>쿠폰 만료 3일 전 /20시</t>
  </si>
  <si>
    <t>배송 완료 이벤트 발생 후 7일 뒤 수거 신청x</t>
  </si>
  <si>
    <t>3주간 미이용 고객</t>
  </si>
  <si>
    <t>2. 모든 강제 발송은 CS 인입 1건이라도 발생 시 중단</t>
  </si>
  <si>
    <t>회원 가입 후 11일 간 무료 봉투, 서비스 신청X</t>
  </si>
  <si>
    <t>수거 신청 완료 후 21일 간 재신청 이력 없는 고객</t>
  </si>
  <si>
    <t>발송 빈도</t>
  </si>
  <si>
    <t>회원가입 완료 후 28일 간 매주 1회</t>
  </si>
  <si>
    <t>1회</t>
  </si>
  <si>
    <t>지역 내 회원가입 0 but 11일간 어떠한 액션X</t>
  </si>
  <si>
    <t>발송 내용</t>
  </si>
  <si>
    <t>만료까지 3일 남았어요!</t>
  </si>
  <si>
    <t>봉투와 함께 사용 가능한 쿠폰이 있음</t>
  </si>
  <si>
    <r>
      <rPr>
        <sz val="11"/>
        <color theme="1"/>
        <rFont val="Malgun Gothic"/>
        <family val="3"/>
        <charset val="129"/>
      </rPr>
      <t>웰컴쿠폰 (2,500원 할인)</t>
    </r>
    <r>
      <rPr>
        <b/>
        <sz val="11"/>
        <color rgb="FF4A86E8"/>
        <rFont val="Malgun Gothic"/>
        <family val="3"/>
        <charset val="129"/>
      </rPr>
      <t>/발송시점 3일 뒤 2번 웰컴 쿠폰 만료</t>
    </r>
  </si>
  <si>
    <t>수거 성공 이력 O, 22일 전이 마지막 주문 (성공여부x)/ 수신 동의 O</t>
  </si>
  <si>
    <t>랜딩</t>
  </si>
  <si>
    <r>
      <rPr>
        <sz val="11"/>
        <color theme="1"/>
        <rFont val="Malgun Gothic"/>
        <family val="3"/>
        <charset val="129"/>
      </rPr>
      <t>회원 가입 후 11일 간 어떠한 액션X(완료 기준) /</t>
    </r>
    <r>
      <rPr>
        <sz val="11"/>
        <color rgb="FFC00000"/>
        <rFont val="Arial"/>
        <family val="2"/>
      </rPr>
      <t xml:space="preserve">강제 발송 </t>
    </r>
    <r>
      <rPr>
        <sz val="11"/>
        <color theme="1"/>
        <rFont val="Arial"/>
        <family val="2"/>
      </rPr>
      <t>/ 회원 탈퇴 제외</t>
    </r>
  </si>
  <si>
    <t>발송 시점 기준 22일 전까지 어떠한 액션X (08시 30분 발송)</t>
  </si>
  <si>
    <t>회원가입 이벤트 발생 후 11일 뒤 (20시 발송)=두번째 웰컴 쿠폰 만료 메시지는 강제 발송</t>
  </si>
  <si>
    <t>회원가입 전 이탈</t>
  </si>
  <si>
    <t>회원가입 완료 but 서비스 신청 x</t>
  </si>
  <si>
    <t>앱 설치 0 but 회원 가입 x</t>
  </si>
  <si>
    <t>회원가입 0 but 16일 간 서비스 신청x</t>
  </si>
  <si>
    <t>대청소할 시기 도래했다는 안내</t>
  </si>
  <si>
    <r>
      <rPr>
        <sz val="11"/>
        <color theme="1"/>
        <rFont val="Malgun Gothic"/>
        <family val="3"/>
        <charset val="129"/>
      </rPr>
      <t xml:space="preserve">30% 할인 쿠폰 당첨/ </t>
    </r>
    <r>
      <rPr>
        <b/>
        <sz val="11"/>
        <color rgb="FF4A86E8"/>
        <rFont val="Malgun Gothic"/>
        <family val="3"/>
        <charset val="129"/>
      </rPr>
      <t>발급 후 6일 뒤 만료</t>
    </r>
  </si>
  <si>
    <t>기존 웰컴 쿠폰 만료 메시지 내용과 동일</t>
  </si>
  <si>
    <t>User id null/ 마케팅 수신 동의 0</t>
  </si>
  <si>
    <t>수거 성공 케이스x, 발송시점 기준 7일 전까지 어떠한 주문x</t>
  </si>
  <si>
    <t>앱 첫 오픈 후 회원 가입x → 익일 19시 발송</t>
  </si>
  <si>
    <t>발송 시점 기준 16일 전까지 수거 성공 없는 경우 (08시 30분 발송)</t>
  </si>
  <si>
    <t>4주간 미이용 고객</t>
  </si>
  <si>
    <t>앱 푸시</t>
  </si>
  <si>
    <t>수거 신청 취소 후 재신청 X</t>
  </si>
  <si>
    <t>수거 신청 완료 후 28일 간 재신청 이력 없는 고객</t>
  </si>
  <si>
    <t>수거 신청 취소 후 1일 뒤 재신청 X</t>
  </si>
  <si>
    <r>
      <rPr>
        <sz val="11"/>
        <color theme="1"/>
        <rFont val="Malgun Gothic"/>
        <family val="3"/>
        <charset val="129"/>
      </rPr>
      <t xml:space="preserve">돌아와요 30% 할인 쿠폰/ </t>
    </r>
    <r>
      <rPr>
        <b/>
        <sz val="11"/>
        <color rgb="FF4A86E8"/>
        <rFont val="Malgun Gothic"/>
        <family val="3"/>
        <charset val="129"/>
      </rPr>
      <t>발급 후 6일 뒤 만료</t>
    </r>
  </si>
  <si>
    <t>회원 가입 시 기본료 0원 쿠폰 8장 사용 가능 안내</t>
  </si>
  <si>
    <t>30% 할인 쿠폰 당첨</t>
  </si>
  <si>
    <r>
      <rPr>
        <sz val="11"/>
        <color theme="1"/>
        <rFont val="Malgun Gothic"/>
        <family val="3"/>
        <charset val="129"/>
      </rPr>
      <t xml:space="preserve">수거 성공 이력 O, 29일 전이 마지막 주문 (성공여부x)/ </t>
    </r>
    <r>
      <rPr>
        <sz val="11"/>
        <color rgb="FFFF0000"/>
        <rFont val="Malgun Gothic"/>
        <family val="3"/>
        <charset val="129"/>
      </rPr>
      <t>강제발송</t>
    </r>
  </si>
  <si>
    <t>발송 시점 기준 29일 전까지 어떠한 액션X (08시 30분 발송)</t>
  </si>
  <si>
    <t>수거 신청 취소 후 1일 뒤 재신청 X인 경우 → 2일 뒤 19시 발송</t>
  </si>
  <si>
    <t>회원가입 0 but 45일 간 서비스 신청x</t>
  </si>
  <si>
    <t>돌아오면 30% 할인 쿠폰 준다는 내용</t>
  </si>
  <si>
    <r>
      <rPr>
        <sz val="11"/>
        <color theme="1"/>
        <rFont val="Malgun Gothic"/>
        <family val="3"/>
        <charset val="129"/>
      </rPr>
      <t xml:space="preserve">무료 이용권 쿠폰 당첨/ </t>
    </r>
    <r>
      <rPr>
        <b/>
        <sz val="11"/>
        <color rgb="FF4A86E8"/>
        <rFont val="Malgun Gothic"/>
        <family val="3"/>
        <charset val="129"/>
      </rPr>
      <t>발급 후 6일 뒤 만료</t>
    </r>
  </si>
  <si>
    <t>수거 신청하기 잊지 않으셨나요와 같은 내용으로 알림</t>
  </si>
  <si>
    <r>
      <rPr>
        <sz val="11"/>
        <color rgb="FF980000"/>
        <rFont val="Malgun Gothic"/>
        <family val="3"/>
        <charset val="129"/>
      </rPr>
      <t>강제발송</t>
    </r>
    <r>
      <rPr>
        <sz val="11"/>
        <color theme="1"/>
        <rFont val="Malgun Gothic"/>
        <family val="3"/>
        <charset val="129"/>
      </rPr>
      <t>/수거 성공 케이스x, 발송시점 기준 7일 전까지 어떠한 주문x</t>
    </r>
  </si>
  <si>
    <t>발송 시점 기준 45일 전까지 수거 성공 없는 경우 (08시 30분 발송)</t>
  </si>
  <si>
    <t>60일간 미이용 고객</t>
  </si>
  <si>
    <t>수거 신청 완료 후 60일 간 재신청 이력 없는 고객</t>
  </si>
  <si>
    <r>
      <rPr>
        <sz val="11"/>
        <color theme="1"/>
        <rFont val="Malgun Gothic"/>
        <family val="3"/>
        <charset val="129"/>
      </rPr>
      <t xml:space="preserve">돌아와요 30% 할인 쿠폰/ </t>
    </r>
    <r>
      <rPr>
        <b/>
        <sz val="11"/>
        <color rgb="FF4A86E8"/>
        <rFont val="Malgun Gothic"/>
        <family val="3"/>
        <charset val="129"/>
      </rPr>
      <t>발급 후 6일 뒤 만료</t>
    </r>
  </si>
  <si>
    <t>서비스 이용 무료 쿠폰 당첨</t>
  </si>
  <si>
    <r>
      <rPr>
        <sz val="11"/>
        <color theme="1"/>
        <rFont val="Malgun Gothic"/>
        <family val="3"/>
        <charset val="129"/>
      </rPr>
      <t xml:space="preserve">수거 성공 이력 O, 61일 전이 마지막 주문 (성공여부x)/ </t>
    </r>
    <r>
      <rPr>
        <sz val="11"/>
        <color rgb="FFFF0000"/>
        <rFont val="Malgun Gothic"/>
        <family val="3"/>
        <charset val="129"/>
      </rPr>
      <t>강제발송</t>
    </r>
  </si>
  <si>
    <t>발송 시점 기준 61일 전까지 어떠한 액션X (08시 30분 발송)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</si>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</sst>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\-mm\-dd"/>
    <numFmt numFmtId="178" formatCode="yyyy\-m\-d"/>
  </numFmts>
  <fonts count="74">
    <font>
      <sz val="10"/>
      <color rgb="FF000000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0"/>
      <color theme="1"/>
      <name val="Calibri"/>
      <family val="2"/>
      <scheme val="minor"/>
    </font>
    <font>
      <sz val="11"/>
      <color rgb="FF000000"/>
      <name val="&quot;맑은 고딕&quot;"/>
      <family val="3"/>
      <charset val="129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sz val="11"/>
      <color theme="1"/>
      <name val="Aptos Narrow"/>
      <family val="2"/>
    </font>
    <font>
      <u/>
      <sz val="11"/>
      <color rgb="FF0000FF"/>
      <name val="Arial"/>
      <family val="2"/>
    </font>
    <font>
      <u/>
      <sz val="11"/>
      <color rgb="FF220D4E"/>
      <name val="&quot;Museo Sans&quot;"/>
    </font>
    <font>
      <u/>
      <sz val="11"/>
      <color rgb="FF000000"/>
      <name val="&quot;Museo Sans&quot;"/>
    </font>
    <font>
      <u/>
      <sz val="11"/>
      <color rgb="FF0000FF"/>
      <name val="Arial"/>
      <family val="2"/>
    </font>
    <font>
      <sz val="11"/>
      <color rgb="FF220D4E"/>
      <name val="Arial"/>
      <family val="2"/>
    </font>
    <font>
      <u/>
      <sz val="11"/>
      <color rgb="FF220D4E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Arial"/>
      <family val="2"/>
    </font>
    <font>
      <sz val="11"/>
      <color rgb="FF555555"/>
      <name val="나눔고딕"/>
      <family val="3"/>
      <charset val="129"/>
    </font>
    <font>
      <sz val="11"/>
      <color rgb="FF000000"/>
      <name val="&quot;Segoe UI Historic&quot;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sz val="11"/>
      <color rgb="FF000416"/>
      <name val="Inherit"/>
    </font>
    <font>
      <sz val="11"/>
      <color rgb="FF000416"/>
      <name val="Inte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Roboto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sz val="10"/>
      <color rgb="FF434343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434343"/>
      <name val="Calibri"/>
      <family val="2"/>
    </font>
    <font>
      <u/>
      <sz val="10"/>
      <color rgb="FF434343"/>
      <name val="Calibri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563C1"/>
      <name val="Arial"/>
      <family val="2"/>
    </font>
    <font>
      <u/>
      <sz val="10"/>
      <color rgb="FF0563C1"/>
      <name val="Arial"/>
      <family val="2"/>
    </font>
    <font>
      <u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1"/>
      <color theme="0"/>
      <name val="Malgun Gothic"/>
      <family val="3"/>
      <charset val="129"/>
    </font>
    <font>
      <sz val="11"/>
      <color rgb="FFFFFFFF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sz val="10"/>
      <name val="Calibri"/>
      <family val="2"/>
    </font>
    <font>
      <sz val="11"/>
      <color rgb="FF9C0006"/>
      <name val="Malgun Gothic"/>
      <family val="3"/>
      <charset val="129"/>
    </font>
    <font>
      <b/>
      <sz val="10"/>
      <color theme="1"/>
      <name val="Arial"/>
      <family val="2"/>
    </font>
    <font>
      <sz val="10"/>
      <color theme="0"/>
      <name val="맑은 고딕"/>
      <family val="3"/>
      <charset val="129"/>
    </font>
    <font>
      <sz val="10"/>
      <color theme="0"/>
      <name val="Calibri"/>
      <family val="2"/>
    </font>
    <font>
      <sz val="11"/>
      <color rgb="FF999999"/>
      <name val="Calibri"/>
      <family val="2"/>
    </font>
    <font>
      <b/>
      <sz val="11"/>
      <color rgb="FF3C78D8"/>
      <name val="Malgun Gothic"/>
      <family val="3"/>
      <charset val="129"/>
    </font>
    <font>
      <sz val="11"/>
      <color rgb="FFC00000"/>
      <name val="Arial"/>
      <family val="2"/>
    </font>
    <font>
      <b/>
      <sz val="11"/>
      <color rgb="FF4A86E8"/>
      <name val="Arial"/>
      <family val="2"/>
    </font>
    <font>
      <b/>
      <sz val="11"/>
      <color rgb="FF4A86E8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980000"/>
      <name val="Malgun Gothic"/>
      <family val="3"/>
      <charset val="129"/>
    </font>
    <font>
      <sz val="8"/>
      <name val="Calibri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DAE9F8"/>
        <bgColor rgb="FFDAE9F8"/>
      </patternFill>
    </fill>
    <fill>
      <patternFill patternType="solid">
        <fgColor rgb="FFF9FAFC"/>
        <bgColor rgb="FFF9FAFC"/>
      </patternFill>
    </fill>
    <fill>
      <patternFill patternType="solid">
        <fgColor rgb="FFF5F6F8"/>
        <bgColor rgb="FFF5F6F8"/>
      </patternFill>
    </fill>
    <fill>
      <patternFill patternType="solid">
        <fgColor rgb="FFF5F5F5"/>
        <bgColor rgb="FFF5F5F5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2E75B5"/>
        <bgColor rgb="FF2E75B5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B3E5A1"/>
        <bgColor rgb="FFB3E5A1"/>
      </patternFill>
    </fill>
    <fill>
      <patternFill patternType="solid">
        <fgColor rgb="FFFFC7CE"/>
        <bgColor rgb="FFFFC7CE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EDEDE"/>
      </left>
      <right/>
      <top style="thin">
        <color rgb="FFDEDEDE"/>
      </top>
      <bottom style="thin">
        <color rgb="FFDEDEDE"/>
      </bottom>
      <diagonal/>
    </border>
    <border>
      <left/>
      <right/>
      <top style="thin">
        <color rgb="FFDEDEDE"/>
      </top>
      <bottom style="thin">
        <color rgb="FFDEDEDE"/>
      </bottom>
      <diagonal/>
    </border>
    <border>
      <left/>
      <right style="thin">
        <color rgb="FFDEDEDE"/>
      </right>
      <top style="thin">
        <color rgb="FFDEDEDE"/>
      </top>
      <bottom style="thin">
        <color rgb="FFDEDEDE"/>
      </bottom>
      <diagonal/>
    </border>
    <border>
      <left style="thin">
        <color rgb="FFDEDEDE"/>
      </left>
      <right style="thin">
        <color rgb="FFDEDEDE"/>
      </right>
      <top style="thin">
        <color rgb="FFDEDEDE"/>
      </top>
      <bottom style="thin">
        <color rgb="FFDEDED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0" borderId="0" xfId="0" applyNumberFormat="1" applyFont="1"/>
    <xf numFmtId="0" fontId="7" fillId="0" borderId="0" xfId="0" applyFont="1"/>
    <xf numFmtId="0" fontId="8" fillId="0" borderId="0" xfId="0" applyFont="1"/>
    <xf numFmtId="0" fontId="8" fillId="0" borderId="3" xfId="0" applyFont="1" applyBorder="1"/>
    <xf numFmtId="0" fontId="8" fillId="0" borderId="1" xfId="0" applyFont="1" applyBorder="1"/>
    <xf numFmtId="0" fontId="7" fillId="0" borderId="4" xfId="0" applyFont="1" applyBorder="1"/>
    <xf numFmtId="0" fontId="4" fillId="0" borderId="1" xfId="0" applyFont="1" applyBorder="1"/>
    <xf numFmtId="0" fontId="6" fillId="0" borderId="1" xfId="0" applyFont="1" applyBorder="1"/>
    <xf numFmtId="0" fontId="9" fillId="0" borderId="1" xfId="0" applyFont="1" applyBorder="1"/>
    <xf numFmtId="0" fontId="7" fillId="0" borderId="1" xfId="0" applyFont="1" applyBorder="1"/>
    <xf numFmtId="0" fontId="6" fillId="0" borderId="0" xfId="0" applyFont="1"/>
    <xf numFmtId="0" fontId="7" fillId="0" borderId="2" xfId="0" applyFont="1" applyBorder="1"/>
    <xf numFmtId="0" fontId="9" fillId="0" borderId="0" xfId="0" applyFont="1"/>
    <xf numFmtId="0" fontId="8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11" fillId="0" borderId="0" xfId="0" applyFont="1"/>
    <xf numFmtId="0" fontId="4" fillId="4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7" fillId="5" borderId="0" xfId="0" applyFont="1" applyFill="1"/>
    <xf numFmtId="0" fontId="18" fillId="6" borderId="0" xfId="0" applyFont="1" applyFill="1"/>
    <xf numFmtId="0" fontId="19" fillId="6" borderId="0" xfId="0" applyFont="1" applyFill="1"/>
    <xf numFmtId="0" fontId="20" fillId="5" borderId="0" xfId="0" applyFont="1" applyFill="1"/>
    <xf numFmtId="0" fontId="21" fillId="5" borderId="0" xfId="0" applyFont="1" applyFill="1"/>
    <xf numFmtId="0" fontId="22" fillId="0" borderId="0" xfId="0" applyFont="1"/>
    <xf numFmtId="0" fontId="23" fillId="6" borderId="0" xfId="0" applyFont="1" applyFill="1"/>
    <xf numFmtId="0" fontId="24" fillId="2" borderId="5" xfId="0" applyFont="1" applyFill="1" applyBorder="1"/>
    <xf numFmtId="0" fontId="24" fillId="2" borderId="6" xfId="0" applyFont="1" applyFill="1" applyBorder="1"/>
    <xf numFmtId="0" fontId="24" fillId="2" borderId="7" xfId="0" applyFont="1" applyFill="1" applyBorder="1"/>
    <xf numFmtId="0" fontId="24" fillId="7" borderId="8" xfId="0" applyFont="1" applyFill="1" applyBorder="1" applyAlignment="1">
      <alignment horizontal="center"/>
    </xf>
    <xf numFmtId="0" fontId="6" fillId="6" borderId="0" xfId="0" applyFont="1" applyFill="1"/>
    <xf numFmtId="0" fontId="25" fillId="8" borderId="0" xfId="0" applyFont="1" applyFill="1"/>
    <xf numFmtId="0" fontId="26" fillId="0" borderId="0" xfId="0" applyFont="1"/>
    <xf numFmtId="0" fontId="27" fillId="0" borderId="0" xfId="0" applyFont="1"/>
    <xf numFmtId="0" fontId="9" fillId="7" borderId="8" xfId="0" applyFont="1" applyFill="1" applyBorder="1"/>
    <xf numFmtId="0" fontId="28" fillId="0" borderId="0" xfId="0" applyFont="1"/>
    <xf numFmtId="0" fontId="29" fillId="2" borderId="0" xfId="0" applyFont="1" applyFill="1"/>
    <xf numFmtId="0" fontId="30" fillId="2" borderId="0" xfId="0" applyFont="1" applyFill="1"/>
    <xf numFmtId="0" fontId="31" fillId="0" borderId="0" xfId="0" applyFont="1"/>
    <xf numFmtId="0" fontId="32" fillId="0" borderId="0" xfId="0" applyFont="1"/>
    <xf numFmtId="49" fontId="31" fillId="0" borderId="0" xfId="0" applyNumberFormat="1" applyFont="1"/>
    <xf numFmtId="3" fontId="31" fillId="0" borderId="0" xfId="0" applyNumberFormat="1" applyFont="1"/>
    <xf numFmtId="0" fontId="31" fillId="0" borderId="0" xfId="0" applyFont="1" applyAlignment="1">
      <alignment horizontal="left" vertical="center"/>
    </xf>
    <xf numFmtId="49" fontId="33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left" vertical="center"/>
    </xf>
    <xf numFmtId="3" fontId="3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76" fontId="34" fillId="2" borderId="9" xfId="0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176" fontId="3" fillId="0" borderId="0" xfId="0" applyNumberFormat="1" applyFont="1" applyAlignment="1">
      <alignment horizontal="left" vertical="center"/>
    </xf>
    <xf numFmtId="0" fontId="34" fillId="2" borderId="10" xfId="0" applyFont="1" applyFill="1" applyBorder="1" applyAlignment="1">
      <alignment vertical="center"/>
    </xf>
    <xf numFmtId="0" fontId="34" fillId="2" borderId="9" xfId="0" applyFont="1" applyFill="1" applyBorder="1" applyAlignment="1">
      <alignment vertical="center"/>
    </xf>
    <xf numFmtId="3" fontId="34" fillId="2" borderId="9" xfId="0" applyNumberFormat="1" applyFont="1" applyFill="1" applyBorder="1" applyAlignment="1">
      <alignment horizontal="right" vertical="center"/>
    </xf>
    <xf numFmtId="178" fontId="34" fillId="9" borderId="9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178" fontId="34" fillId="2" borderId="9" xfId="0" applyNumberFormat="1" applyFont="1" applyFill="1" applyBorder="1" applyAlignment="1">
      <alignment horizontal="left" vertical="center"/>
    </xf>
    <xf numFmtId="176" fontId="34" fillId="2" borderId="9" xfId="0" applyNumberFormat="1" applyFont="1" applyFill="1" applyBorder="1" applyAlignment="1">
      <alignment horizontal="left" vertical="center"/>
    </xf>
    <xf numFmtId="3" fontId="5" fillId="2" borderId="9" xfId="0" applyNumberFormat="1" applyFont="1" applyFill="1" applyBorder="1" applyAlignment="1">
      <alignment vertical="center"/>
    </xf>
    <xf numFmtId="3" fontId="34" fillId="2" borderId="9" xfId="0" applyNumberFormat="1" applyFont="1" applyFill="1" applyBorder="1" applyAlignment="1">
      <alignment vertical="center"/>
    </xf>
    <xf numFmtId="0" fontId="34" fillId="9" borderId="10" xfId="0" applyFont="1" applyFill="1" applyBorder="1" applyAlignment="1">
      <alignment vertical="center"/>
    </xf>
    <xf numFmtId="0" fontId="34" fillId="9" borderId="9" xfId="0" applyFont="1" applyFill="1" applyBorder="1" applyAlignment="1">
      <alignment vertical="center"/>
    </xf>
    <xf numFmtId="3" fontId="34" fillId="9" borderId="9" xfId="0" applyNumberFormat="1" applyFont="1" applyFill="1" applyBorder="1" applyAlignment="1">
      <alignment horizontal="right" vertical="center"/>
    </xf>
    <xf numFmtId="0" fontId="5" fillId="9" borderId="9" xfId="0" applyFont="1" applyFill="1" applyBorder="1" applyAlignment="1">
      <alignment vertical="center"/>
    </xf>
    <xf numFmtId="176" fontId="34" fillId="9" borderId="9" xfId="0" applyNumberFormat="1" applyFont="1" applyFill="1" applyBorder="1" applyAlignment="1">
      <alignment horizontal="left" vertical="center"/>
    </xf>
    <xf numFmtId="3" fontId="5" fillId="9" borderId="9" xfId="0" applyNumberFormat="1" applyFont="1" applyFill="1" applyBorder="1" applyAlignment="1">
      <alignment vertical="center"/>
    </xf>
    <xf numFmtId="3" fontId="34" fillId="9" borderId="9" xfId="0" applyNumberFormat="1" applyFont="1" applyFill="1" applyBorder="1" applyAlignment="1">
      <alignment vertical="center"/>
    </xf>
    <xf numFmtId="0" fontId="5" fillId="9" borderId="11" xfId="0" applyFont="1" applyFill="1" applyBorder="1" applyAlignment="1">
      <alignment vertical="center"/>
    </xf>
    <xf numFmtId="0" fontId="34" fillId="9" borderId="0" xfId="0" applyFont="1" applyFill="1" applyAlignment="1">
      <alignment vertical="center"/>
    </xf>
    <xf numFmtId="0" fontId="34" fillId="2" borderId="12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3" fontId="34" fillId="2" borderId="13" xfId="0" applyNumberFormat="1" applyFont="1" applyFill="1" applyBorder="1" applyAlignment="1">
      <alignment horizontal="right" vertical="center"/>
    </xf>
    <xf numFmtId="0" fontId="40" fillId="9" borderId="13" xfId="0" applyFont="1" applyFill="1" applyBorder="1" applyAlignment="1">
      <alignment horizontal="right" vertical="center"/>
    </xf>
    <xf numFmtId="176" fontId="3" fillId="0" borderId="0" xfId="0" applyNumberFormat="1" applyFont="1" applyAlignment="1">
      <alignment vertical="center"/>
    </xf>
    <xf numFmtId="3" fontId="5" fillId="2" borderId="13" xfId="0" applyNumberFormat="1" applyFont="1" applyFill="1" applyBorder="1" applyAlignment="1">
      <alignment vertical="center"/>
    </xf>
    <xf numFmtId="0" fontId="41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40" fillId="2" borderId="9" xfId="0" applyFont="1" applyFill="1" applyBorder="1" applyAlignment="1">
      <alignment horizontal="right" vertical="center"/>
    </xf>
    <xf numFmtId="0" fontId="42" fillId="9" borderId="9" xfId="0" applyFont="1" applyFill="1" applyBorder="1" applyAlignment="1">
      <alignment vertical="center"/>
    </xf>
    <xf numFmtId="0" fontId="5" fillId="9" borderId="11" xfId="0" applyFont="1" applyFill="1" applyBorder="1" applyAlignment="1">
      <alignment horizontal="left" vertical="center"/>
    </xf>
    <xf numFmtId="0" fontId="5" fillId="9" borderId="0" xfId="0" applyFont="1" applyFill="1" applyAlignment="1">
      <alignment vertical="center"/>
    </xf>
    <xf numFmtId="0" fontId="43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left" vertical="center"/>
    </xf>
    <xf numFmtId="0" fontId="40" fillId="2" borderId="13" xfId="0" applyFont="1" applyFill="1" applyBorder="1" applyAlignment="1">
      <alignment horizontal="right" vertical="center"/>
    </xf>
    <xf numFmtId="0" fontId="44" fillId="0" borderId="0" xfId="0" applyFont="1" applyAlignment="1">
      <alignment vertical="center"/>
    </xf>
    <xf numFmtId="0" fontId="34" fillId="2" borderId="9" xfId="0" applyFont="1" applyFill="1" applyBorder="1" applyAlignment="1">
      <alignment horizontal="right" vertical="center"/>
    </xf>
    <xf numFmtId="0" fontId="34" fillId="9" borderId="13" xfId="0" applyFont="1" applyFill="1" applyBorder="1" applyAlignment="1">
      <alignment horizontal="right" vertical="center"/>
    </xf>
    <xf numFmtId="0" fontId="34" fillId="9" borderId="9" xfId="0" applyFont="1" applyFill="1" applyBorder="1" applyAlignment="1">
      <alignment horizontal="right" vertical="center"/>
    </xf>
    <xf numFmtId="0" fontId="45" fillId="2" borderId="9" xfId="0" applyFont="1" applyFill="1" applyBorder="1" applyAlignment="1">
      <alignment vertical="center"/>
    </xf>
    <xf numFmtId="3" fontId="40" fillId="2" borderId="9" xfId="0" applyNumberFormat="1" applyFont="1" applyFill="1" applyBorder="1" applyAlignment="1">
      <alignment horizontal="right" vertical="center"/>
    </xf>
    <xf numFmtId="0" fontId="34" fillId="9" borderId="12" xfId="0" applyFont="1" applyFill="1" applyBorder="1" applyAlignment="1">
      <alignment vertical="center"/>
    </xf>
    <xf numFmtId="0" fontId="5" fillId="9" borderId="13" xfId="0" applyFont="1" applyFill="1" applyBorder="1" applyAlignment="1">
      <alignment vertical="center"/>
    </xf>
    <xf numFmtId="3" fontId="34" fillId="9" borderId="13" xfId="0" applyNumberFormat="1" applyFont="1" applyFill="1" applyBorder="1" applyAlignment="1">
      <alignment horizontal="right" vertical="center"/>
    </xf>
    <xf numFmtId="3" fontId="5" fillId="9" borderId="13" xfId="0" applyNumberFormat="1" applyFont="1" applyFill="1" applyBorder="1" applyAlignment="1">
      <alignment vertical="center"/>
    </xf>
    <xf numFmtId="0" fontId="46" fillId="9" borderId="13" xfId="0" applyFont="1" applyFill="1" applyBorder="1" applyAlignment="1">
      <alignment vertical="center"/>
    </xf>
    <xf numFmtId="0" fontId="34" fillId="2" borderId="0" xfId="0" applyFont="1" applyFill="1" applyAlignment="1">
      <alignment vertical="center"/>
    </xf>
    <xf numFmtId="0" fontId="47" fillId="2" borderId="9" xfId="0" applyFont="1" applyFill="1" applyBorder="1" applyAlignment="1">
      <alignment vertical="center"/>
    </xf>
    <xf numFmtId="0" fontId="34" fillId="9" borderId="13" xfId="0" applyFont="1" applyFill="1" applyBorder="1" applyAlignment="1">
      <alignment vertical="center"/>
    </xf>
    <xf numFmtId="0" fontId="48" fillId="9" borderId="13" xfId="0" applyFont="1" applyFill="1" applyBorder="1" applyAlignment="1">
      <alignment vertical="center"/>
    </xf>
    <xf numFmtId="0" fontId="49" fillId="2" borderId="9" xfId="0" applyFont="1" applyFill="1" applyBorder="1" applyAlignment="1">
      <alignment vertical="center"/>
    </xf>
    <xf numFmtId="0" fontId="40" fillId="2" borderId="13" xfId="0" applyFont="1" applyFill="1" applyBorder="1" applyAlignment="1">
      <alignment vertical="center"/>
    </xf>
    <xf numFmtId="0" fontId="40" fillId="2" borderId="0" xfId="0" applyFont="1" applyFill="1" applyAlignment="1">
      <alignment vertical="center"/>
    </xf>
    <xf numFmtId="0" fontId="50" fillId="9" borderId="9" xfId="0" applyFont="1" applyFill="1" applyBorder="1" applyAlignment="1">
      <alignment vertical="center"/>
    </xf>
    <xf numFmtId="0" fontId="40" fillId="9" borderId="13" xfId="0" applyFont="1" applyFill="1" applyBorder="1" applyAlignment="1">
      <alignment vertical="center"/>
    </xf>
    <xf numFmtId="0" fontId="40" fillId="9" borderId="0" xfId="0" applyFont="1" applyFill="1" applyAlignment="1">
      <alignment vertical="center"/>
    </xf>
    <xf numFmtId="0" fontId="34" fillId="2" borderId="13" xfId="0" applyFont="1" applyFill="1" applyBorder="1" applyAlignment="1">
      <alignment vertical="center"/>
    </xf>
    <xf numFmtId="3" fontId="5" fillId="9" borderId="0" xfId="0" applyNumberFormat="1" applyFont="1" applyFill="1" applyAlignment="1">
      <alignment vertical="center"/>
    </xf>
    <xf numFmtId="0" fontId="34" fillId="2" borderId="12" xfId="0" applyFont="1" applyFill="1" applyBorder="1"/>
    <xf numFmtId="0" fontId="51" fillId="9" borderId="9" xfId="0" applyFont="1" applyFill="1" applyBorder="1" applyAlignment="1">
      <alignment vertical="center"/>
    </xf>
    <xf numFmtId="176" fontId="34" fillId="2" borderId="9" xfId="0" applyNumberFormat="1" applyFont="1" applyFill="1" applyBorder="1" applyAlignment="1">
      <alignment horizontal="right" vertical="center"/>
    </xf>
    <xf numFmtId="0" fontId="52" fillId="2" borderId="9" xfId="0" applyFont="1" applyFill="1" applyBorder="1" applyAlignment="1">
      <alignment vertical="center"/>
    </xf>
    <xf numFmtId="0" fontId="40" fillId="2" borderId="9" xfId="0" applyFont="1" applyFill="1" applyBorder="1" applyAlignment="1">
      <alignment vertical="center"/>
    </xf>
    <xf numFmtId="0" fontId="40" fillId="2" borderId="15" xfId="0" applyFont="1" applyFill="1" applyBorder="1" applyAlignment="1">
      <alignment vertical="center"/>
    </xf>
    <xf numFmtId="176" fontId="34" fillId="9" borderId="9" xfId="0" applyNumberFormat="1" applyFont="1" applyFill="1" applyBorder="1" applyAlignment="1">
      <alignment horizontal="right" vertical="center"/>
    </xf>
    <xf numFmtId="0" fontId="53" fillId="9" borderId="13" xfId="0" applyFont="1" applyFill="1" applyBorder="1" applyAlignment="1">
      <alignment vertical="center"/>
    </xf>
    <xf numFmtId="0" fontId="32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7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8" fillId="11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8" fillId="12" borderId="1" xfId="0" applyFont="1" applyFill="1" applyBorder="1" applyAlignment="1">
      <alignment vertical="center"/>
    </xf>
    <xf numFmtId="0" fontId="59" fillId="12" borderId="1" xfId="0" applyFont="1" applyFill="1" applyBorder="1" applyAlignment="1">
      <alignment vertical="center"/>
    </xf>
    <xf numFmtId="0" fontId="3" fillId="0" borderId="1" xfId="0" applyFont="1" applyBorder="1"/>
    <xf numFmtId="0" fontId="2" fillId="0" borderId="1" xfId="0" applyFont="1" applyBorder="1"/>
    <xf numFmtId="0" fontId="59" fillId="12" borderId="1" xfId="0" applyFont="1" applyFill="1" applyBorder="1"/>
    <xf numFmtId="0" fontId="58" fillId="13" borderId="1" xfId="0" applyFont="1" applyFill="1" applyBorder="1" applyAlignment="1">
      <alignment vertical="center"/>
    </xf>
    <xf numFmtId="0" fontId="59" fillId="11" borderId="1" xfId="0" applyFont="1" applyFill="1" applyBorder="1" applyAlignment="1">
      <alignment vertical="center"/>
    </xf>
    <xf numFmtId="0" fontId="6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2" fillId="0" borderId="0" xfId="0" applyFont="1" applyAlignment="1">
      <alignment horizontal="center"/>
    </xf>
    <xf numFmtId="176" fontId="4" fillId="0" borderId="0" xfId="0" applyNumberFormat="1" applyFont="1" applyAlignment="1">
      <alignment horizontal="right"/>
    </xf>
    <xf numFmtId="10" fontId="32" fillId="0" borderId="0" xfId="0" applyNumberFormat="1" applyFont="1"/>
    <xf numFmtId="10" fontId="2" fillId="0" borderId="0" xfId="0" applyNumberFormat="1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1" fillId="0" borderId="17" xfId="0" applyFont="1" applyBorder="1"/>
    <xf numFmtId="0" fontId="2" fillId="14" borderId="16" xfId="0" applyFont="1" applyFill="1" applyBorder="1" applyAlignment="1">
      <alignment horizontal="center" vertical="center"/>
    </xf>
    <xf numFmtId="0" fontId="62" fillId="15" borderId="16" xfId="0" applyFont="1" applyFill="1" applyBorder="1" applyAlignment="1">
      <alignment horizontal="center" vertical="center"/>
    </xf>
    <xf numFmtId="0" fontId="62" fillId="0" borderId="16" xfId="0" applyFont="1" applyBorder="1" applyAlignment="1">
      <alignment horizontal="center" vertical="center"/>
    </xf>
  </cellXfs>
  <cellStyles count="1">
    <cellStyle name="표준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커버링 X 인플루언서 협업 트래킹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온드 지표 트래킹 (피드, 카드뉴스)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온드 지표 트래킹 (릴스)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vering.onelink.me/yhjQ/k85prxyl" TargetMode="External"/><Relationship Id="rId117" Type="http://schemas.openxmlformats.org/officeDocument/2006/relationships/hyperlink" Target="https://abr.ge/ijb7oid" TargetMode="External"/><Relationship Id="rId21" Type="http://schemas.openxmlformats.org/officeDocument/2006/relationships/hyperlink" Target="https://covering.onelink.me/yhjQ/qwrecgxx" TargetMode="External"/><Relationship Id="rId42" Type="http://schemas.openxmlformats.org/officeDocument/2006/relationships/hyperlink" Target="https://abr.ge/it699w" TargetMode="External"/><Relationship Id="rId47" Type="http://schemas.openxmlformats.org/officeDocument/2006/relationships/hyperlink" Target="https://abr.ge/3kh89b" TargetMode="External"/><Relationship Id="rId63" Type="http://schemas.openxmlformats.org/officeDocument/2006/relationships/hyperlink" Target="https://abr.ge/jvxobgm" TargetMode="External"/><Relationship Id="rId68" Type="http://schemas.openxmlformats.org/officeDocument/2006/relationships/hyperlink" Target="https://abr.ge/xx0k0jd" TargetMode="External"/><Relationship Id="rId84" Type="http://schemas.openxmlformats.org/officeDocument/2006/relationships/hyperlink" Target="https://abr.ge/q43rgr" TargetMode="External"/><Relationship Id="rId89" Type="http://schemas.openxmlformats.org/officeDocument/2006/relationships/hyperlink" Target="https://abr.ge/9ghcjl" TargetMode="External"/><Relationship Id="rId112" Type="http://schemas.openxmlformats.org/officeDocument/2006/relationships/hyperlink" Target="https://abr.ge/7pybeom" TargetMode="External"/><Relationship Id="rId16" Type="http://schemas.openxmlformats.org/officeDocument/2006/relationships/hyperlink" Target="https://covering.onelink.me/yhjQ/xkpmh16i" TargetMode="External"/><Relationship Id="rId107" Type="http://schemas.openxmlformats.org/officeDocument/2006/relationships/hyperlink" Target="https://abr.ge/a4fwspj" TargetMode="External"/><Relationship Id="rId11" Type="http://schemas.openxmlformats.org/officeDocument/2006/relationships/hyperlink" Target="https://covering.onelink.me/yhjQ/ukczmsjb" TargetMode="External"/><Relationship Id="rId32" Type="http://schemas.openxmlformats.org/officeDocument/2006/relationships/hyperlink" Target="https://covering.onelink.me/yhjQ/mu2mchup" TargetMode="External"/><Relationship Id="rId37" Type="http://schemas.openxmlformats.org/officeDocument/2006/relationships/hyperlink" Target="https://covering.onelink.me/yhjQ/b8x10tin" TargetMode="External"/><Relationship Id="rId53" Type="http://schemas.openxmlformats.org/officeDocument/2006/relationships/hyperlink" Target="https://abr.ge/cynqm0" TargetMode="External"/><Relationship Id="rId58" Type="http://schemas.openxmlformats.org/officeDocument/2006/relationships/hyperlink" Target="https://abr.ge/5ka2z9" TargetMode="External"/><Relationship Id="rId74" Type="http://schemas.openxmlformats.org/officeDocument/2006/relationships/hyperlink" Target="https://abr.ge/6odpasa" TargetMode="External"/><Relationship Id="rId79" Type="http://schemas.openxmlformats.org/officeDocument/2006/relationships/hyperlink" Target="https://abr.ge/vt8ptn" TargetMode="External"/><Relationship Id="rId102" Type="http://schemas.openxmlformats.org/officeDocument/2006/relationships/hyperlink" Target="https://abr.ge/txx8aq" TargetMode="External"/><Relationship Id="rId5" Type="http://schemas.openxmlformats.org/officeDocument/2006/relationships/hyperlink" Target="https://covering.onelink.me/yhjQ/nmd0b0pn" TargetMode="External"/><Relationship Id="rId90" Type="http://schemas.openxmlformats.org/officeDocument/2006/relationships/hyperlink" Target="https://abr.ge/8lm46t" TargetMode="External"/><Relationship Id="rId95" Type="http://schemas.openxmlformats.org/officeDocument/2006/relationships/hyperlink" Target="https://abr.ge/sydd4o2" TargetMode="External"/><Relationship Id="rId22" Type="http://schemas.openxmlformats.org/officeDocument/2006/relationships/hyperlink" Target="https://covering.onelink.me/yhjQ/lfn1ly6u" TargetMode="External"/><Relationship Id="rId27" Type="http://schemas.openxmlformats.org/officeDocument/2006/relationships/hyperlink" Target="https://covering.onelink.me/yhjQ/ta3v7yp0" TargetMode="External"/><Relationship Id="rId43" Type="http://schemas.openxmlformats.org/officeDocument/2006/relationships/hyperlink" Target="https://abr.ge/xkynz5" TargetMode="External"/><Relationship Id="rId48" Type="http://schemas.openxmlformats.org/officeDocument/2006/relationships/hyperlink" Target="https://abr.ge/ly1vdm" TargetMode="External"/><Relationship Id="rId64" Type="http://schemas.openxmlformats.org/officeDocument/2006/relationships/hyperlink" Target="https://abr.ge/5z976t" TargetMode="External"/><Relationship Id="rId69" Type="http://schemas.openxmlformats.org/officeDocument/2006/relationships/hyperlink" Target="https://abr.ge/gyuep7" TargetMode="External"/><Relationship Id="rId113" Type="http://schemas.openxmlformats.org/officeDocument/2006/relationships/hyperlink" Target="https://abr.ge/1y0w5uh" TargetMode="External"/><Relationship Id="rId118" Type="http://schemas.openxmlformats.org/officeDocument/2006/relationships/hyperlink" Target="https://abr.ge/9w1m92" TargetMode="External"/><Relationship Id="rId80" Type="http://schemas.openxmlformats.org/officeDocument/2006/relationships/hyperlink" Target="https://abr.ge/1ptgozl" TargetMode="External"/><Relationship Id="rId85" Type="http://schemas.openxmlformats.org/officeDocument/2006/relationships/hyperlink" Target="https://abr.ge/ghuiz5" TargetMode="External"/><Relationship Id="rId12" Type="http://schemas.openxmlformats.org/officeDocument/2006/relationships/hyperlink" Target="https://covering.onelink.me/yhjQ/uyx0injj" TargetMode="External"/><Relationship Id="rId17" Type="http://schemas.openxmlformats.org/officeDocument/2006/relationships/hyperlink" Target="https://covering.onelink.me/yhjQ/mebbkfs3" TargetMode="External"/><Relationship Id="rId33" Type="http://schemas.openxmlformats.org/officeDocument/2006/relationships/hyperlink" Target="https://covering.onelink.me/yhjQ/7php8c6o" TargetMode="External"/><Relationship Id="rId38" Type="http://schemas.openxmlformats.org/officeDocument/2006/relationships/hyperlink" Target="https://covering.onelink.me/yhjQ/1gt60mju" TargetMode="External"/><Relationship Id="rId59" Type="http://schemas.openxmlformats.org/officeDocument/2006/relationships/hyperlink" Target="https://abr.ge/kmijkr" TargetMode="External"/><Relationship Id="rId103" Type="http://schemas.openxmlformats.org/officeDocument/2006/relationships/hyperlink" Target="https://abr.ge/4wxly3a" TargetMode="External"/><Relationship Id="rId108" Type="http://schemas.openxmlformats.org/officeDocument/2006/relationships/hyperlink" Target="https://abr.ge/a8qv8q" TargetMode="External"/><Relationship Id="rId54" Type="http://schemas.openxmlformats.org/officeDocument/2006/relationships/hyperlink" Target="https://abr.ge/f5go3p" TargetMode="External"/><Relationship Id="rId70" Type="http://schemas.openxmlformats.org/officeDocument/2006/relationships/hyperlink" Target="https://abr.ge/0belpk" TargetMode="External"/><Relationship Id="rId75" Type="http://schemas.openxmlformats.org/officeDocument/2006/relationships/hyperlink" Target="https://abr.ge/t7ns54" TargetMode="External"/><Relationship Id="rId91" Type="http://schemas.openxmlformats.org/officeDocument/2006/relationships/hyperlink" Target="https://abr.ge/du2a6zp" TargetMode="External"/><Relationship Id="rId96" Type="http://schemas.openxmlformats.org/officeDocument/2006/relationships/hyperlink" Target="https://abr.ge/88s4p6" TargetMode="External"/><Relationship Id="rId1" Type="http://schemas.openxmlformats.org/officeDocument/2006/relationships/hyperlink" Target="https://abr.ge/u7gjoq" TargetMode="External"/><Relationship Id="rId6" Type="http://schemas.openxmlformats.org/officeDocument/2006/relationships/hyperlink" Target="https://covering.onelink.me/yhjQ/stzws75t" TargetMode="External"/><Relationship Id="rId23" Type="http://schemas.openxmlformats.org/officeDocument/2006/relationships/hyperlink" Target="https://covering.onelink.me/yhjQ/7wr0pwum" TargetMode="External"/><Relationship Id="rId28" Type="http://schemas.openxmlformats.org/officeDocument/2006/relationships/hyperlink" Target="https://covering.onelink.me/yhjQ/qahlgr6k" TargetMode="External"/><Relationship Id="rId49" Type="http://schemas.openxmlformats.org/officeDocument/2006/relationships/hyperlink" Target="https://abr.ge/wwm3cx" TargetMode="External"/><Relationship Id="rId114" Type="http://schemas.openxmlformats.org/officeDocument/2006/relationships/hyperlink" Target="https://abr.ge/8jakmwr" TargetMode="External"/><Relationship Id="rId119" Type="http://schemas.openxmlformats.org/officeDocument/2006/relationships/hyperlink" Target="https://abr.ge/h752g4" TargetMode="External"/><Relationship Id="rId10" Type="http://schemas.openxmlformats.org/officeDocument/2006/relationships/hyperlink" Target="https://covering.onelink.me/yhjQ/uuzd4qjf" TargetMode="External"/><Relationship Id="rId31" Type="http://schemas.openxmlformats.org/officeDocument/2006/relationships/hyperlink" Target="https://covering.onelink.me/yhjQ/dd9cfvd6" TargetMode="External"/><Relationship Id="rId44" Type="http://schemas.openxmlformats.org/officeDocument/2006/relationships/hyperlink" Target="https://abr.ge/60gycn" TargetMode="External"/><Relationship Id="rId52" Type="http://schemas.openxmlformats.org/officeDocument/2006/relationships/hyperlink" Target="https://abr.ge/u3sybi" TargetMode="External"/><Relationship Id="rId60" Type="http://schemas.openxmlformats.org/officeDocument/2006/relationships/hyperlink" Target="https://abr.ge/16p03g" TargetMode="External"/><Relationship Id="rId65" Type="http://schemas.openxmlformats.org/officeDocument/2006/relationships/hyperlink" Target="https://abr.ge/ejzpes" TargetMode="External"/><Relationship Id="rId73" Type="http://schemas.openxmlformats.org/officeDocument/2006/relationships/hyperlink" Target="https://abr.ge/ks9oky" TargetMode="External"/><Relationship Id="rId78" Type="http://schemas.openxmlformats.org/officeDocument/2006/relationships/hyperlink" Target="https://abr.ge/0uptms2" TargetMode="External"/><Relationship Id="rId81" Type="http://schemas.openxmlformats.org/officeDocument/2006/relationships/hyperlink" Target="https://abr.ge/fimuqp" TargetMode="External"/><Relationship Id="rId86" Type="http://schemas.openxmlformats.org/officeDocument/2006/relationships/hyperlink" Target="https://abr.ge/guwyw07" TargetMode="External"/><Relationship Id="rId94" Type="http://schemas.openxmlformats.org/officeDocument/2006/relationships/hyperlink" Target="https://abr.ge/naogxy" TargetMode="External"/><Relationship Id="rId99" Type="http://schemas.openxmlformats.org/officeDocument/2006/relationships/hyperlink" Target="https://abr.ge/qq08kx" TargetMode="External"/><Relationship Id="rId101" Type="http://schemas.openxmlformats.org/officeDocument/2006/relationships/hyperlink" Target="https://abr.ge/e3u2je5" TargetMode="External"/><Relationship Id="rId4" Type="http://schemas.openxmlformats.org/officeDocument/2006/relationships/hyperlink" Target="https://covering.onelink.me/yhjQ/0ofxsrbo" TargetMode="External"/><Relationship Id="rId9" Type="http://schemas.openxmlformats.org/officeDocument/2006/relationships/hyperlink" Target="https://covering.onelink.me/yhjQ/podz3upb" TargetMode="External"/><Relationship Id="rId13" Type="http://schemas.openxmlformats.org/officeDocument/2006/relationships/hyperlink" Target="https://covering.onelink.me/yhjQ/7h3vsm2v" TargetMode="External"/><Relationship Id="rId18" Type="http://schemas.openxmlformats.org/officeDocument/2006/relationships/hyperlink" Target="https://covering.onelink.me/yhjQ/u2lxwpmw" TargetMode="External"/><Relationship Id="rId39" Type="http://schemas.openxmlformats.org/officeDocument/2006/relationships/hyperlink" Target="https://covering.onelink.me/yhjQ/91nfsy10" TargetMode="External"/><Relationship Id="rId109" Type="http://schemas.openxmlformats.org/officeDocument/2006/relationships/hyperlink" Target="https://abr.ge/3n1d2e" TargetMode="External"/><Relationship Id="rId34" Type="http://schemas.openxmlformats.org/officeDocument/2006/relationships/hyperlink" Target="https://covering.onelink.me/yhjQ/sjw1y3h8" TargetMode="External"/><Relationship Id="rId50" Type="http://schemas.openxmlformats.org/officeDocument/2006/relationships/hyperlink" Target="https://abr.ge/w2zhq7" TargetMode="External"/><Relationship Id="rId55" Type="http://schemas.openxmlformats.org/officeDocument/2006/relationships/hyperlink" Target="https://abr.ge/8521xx" TargetMode="External"/><Relationship Id="rId76" Type="http://schemas.openxmlformats.org/officeDocument/2006/relationships/hyperlink" Target="https://abr.ge/65yhbh" TargetMode="External"/><Relationship Id="rId97" Type="http://schemas.openxmlformats.org/officeDocument/2006/relationships/hyperlink" Target="https://abr.ge/vl5bee" TargetMode="External"/><Relationship Id="rId104" Type="http://schemas.openxmlformats.org/officeDocument/2006/relationships/hyperlink" Target="https://abr.ge/ulng4qm" TargetMode="External"/><Relationship Id="rId7" Type="http://schemas.openxmlformats.org/officeDocument/2006/relationships/hyperlink" Target="https://covering.onelink.me/yhjQ/4a7zwagz" TargetMode="External"/><Relationship Id="rId71" Type="http://schemas.openxmlformats.org/officeDocument/2006/relationships/hyperlink" Target="https://abr.ge/89uwm2" TargetMode="External"/><Relationship Id="rId92" Type="http://schemas.openxmlformats.org/officeDocument/2006/relationships/hyperlink" Target="https://abr.ge/ikhpyr" TargetMode="External"/><Relationship Id="rId2" Type="http://schemas.openxmlformats.org/officeDocument/2006/relationships/hyperlink" Target="https://covering.onelink.me/yhjQ/nhckth5x" TargetMode="External"/><Relationship Id="rId29" Type="http://schemas.openxmlformats.org/officeDocument/2006/relationships/hyperlink" Target="https://covering.onelink.me/yhjQ/hvbqdfj1" TargetMode="External"/><Relationship Id="rId24" Type="http://schemas.openxmlformats.org/officeDocument/2006/relationships/hyperlink" Target="https://covering.onelink.me/yhjQ/mzs9c1fi" TargetMode="External"/><Relationship Id="rId40" Type="http://schemas.openxmlformats.org/officeDocument/2006/relationships/hyperlink" Target="https://abr.ge/07rfhn" TargetMode="External"/><Relationship Id="rId45" Type="http://schemas.openxmlformats.org/officeDocument/2006/relationships/hyperlink" Target="https://abr.ge/ayiuxb" TargetMode="External"/><Relationship Id="rId66" Type="http://schemas.openxmlformats.org/officeDocument/2006/relationships/hyperlink" Target="https://abr.ge/870mohm" TargetMode="External"/><Relationship Id="rId87" Type="http://schemas.openxmlformats.org/officeDocument/2006/relationships/hyperlink" Target="https://abr.ge/6zegz2" TargetMode="External"/><Relationship Id="rId110" Type="http://schemas.openxmlformats.org/officeDocument/2006/relationships/hyperlink" Target="https://abr.ge/dpjtzc" TargetMode="External"/><Relationship Id="rId115" Type="http://schemas.openxmlformats.org/officeDocument/2006/relationships/hyperlink" Target="https://abr.ge/nwk7wy" TargetMode="External"/><Relationship Id="rId61" Type="http://schemas.openxmlformats.org/officeDocument/2006/relationships/hyperlink" Target="https://abr.ge/nauq7a" TargetMode="External"/><Relationship Id="rId82" Type="http://schemas.openxmlformats.org/officeDocument/2006/relationships/hyperlink" Target="https://abr.ge/rxx3c9b" TargetMode="External"/><Relationship Id="rId19" Type="http://schemas.openxmlformats.org/officeDocument/2006/relationships/hyperlink" Target="https://covering.onelink.me/yhjQ/ofrd1vt3" TargetMode="External"/><Relationship Id="rId14" Type="http://schemas.openxmlformats.org/officeDocument/2006/relationships/hyperlink" Target="https://covering.onelink.me/yhjQ/w3bogpyq" TargetMode="External"/><Relationship Id="rId30" Type="http://schemas.openxmlformats.org/officeDocument/2006/relationships/hyperlink" Target="https://covering.onelink.me/yhjQ/sim8s2lg" TargetMode="External"/><Relationship Id="rId35" Type="http://schemas.openxmlformats.org/officeDocument/2006/relationships/hyperlink" Target="https://covering.onelink.me/yhjQ/sya59qcw" TargetMode="External"/><Relationship Id="rId56" Type="http://schemas.openxmlformats.org/officeDocument/2006/relationships/hyperlink" Target="https://abr.ge/mzu3rn" TargetMode="External"/><Relationship Id="rId77" Type="http://schemas.openxmlformats.org/officeDocument/2006/relationships/hyperlink" Target="https://abr.ge/6qy7b0" TargetMode="External"/><Relationship Id="rId100" Type="http://schemas.openxmlformats.org/officeDocument/2006/relationships/hyperlink" Target="https://abr.ge/qqr90x" TargetMode="External"/><Relationship Id="rId105" Type="http://schemas.openxmlformats.org/officeDocument/2006/relationships/hyperlink" Target="https://abr.ge/tlta56f" TargetMode="External"/><Relationship Id="rId8" Type="http://schemas.openxmlformats.org/officeDocument/2006/relationships/hyperlink" Target="https://covering.onelink.me/yhjQ/1hdgvnfw" TargetMode="External"/><Relationship Id="rId51" Type="http://schemas.openxmlformats.org/officeDocument/2006/relationships/hyperlink" Target="https://abr.ge/peyin6" TargetMode="External"/><Relationship Id="rId72" Type="http://schemas.openxmlformats.org/officeDocument/2006/relationships/hyperlink" Target="https://abr.ge/diwwfd" TargetMode="External"/><Relationship Id="rId93" Type="http://schemas.openxmlformats.org/officeDocument/2006/relationships/hyperlink" Target="https://abr.ge/cy6876" TargetMode="External"/><Relationship Id="rId98" Type="http://schemas.openxmlformats.org/officeDocument/2006/relationships/hyperlink" Target="https://abr.ge/6gy6vwv" TargetMode="External"/><Relationship Id="rId3" Type="http://schemas.openxmlformats.org/officeDocument/2006/relationships/hyperlink" Target="https://covering.onelink.me/yhjQ/blxckato" TargetMode="External"/><Relationship Id="rId25" Type="http://schemas.openxmlformats.org/officeDocument/2006/relationships/hyperlink" Target="https://covering.onelink.me/yhjQ/pveyzsdx" TargetMode="External"/><Relationship Id="rId46" Type="http://schemas.openxmlformats.org/officeDocument/2006/relationships/hyperlink" Target="https://abr.ge/us84w6" TargetMode="External"/><Relationship Id="rId67" Type="http://schemas.openxmlformats.org/officeDocument/2006/relationships/hyperlink" Target="https://abr.ge/qfhyymk" TargetMode="External"/><Relationship Id="rId116" Type="http://schemas.openxmlformats.org/officeDocument/2006/relationships/hyperlink" Target="https://abr.ge/j3ynx6" TargetMode="External"/><Relationship Id="rId20" Type="http://schemas.openxmlformats.org/officeDocument/2006/relationships/hyperlink" Target="https://covering.onelink.me/yhjQ/sc0ebyu0" TargetMode="External"/><Relationship Id="rId41" Type="http://schemas.openxmlformats.org/officeDocument/2006/relationships/hyperlink" Target="https://abr.ge/p76hj9" TargetMode="External"/><Relationship Id="rId62" Type="http://schemas.openxmlformats.org/officeDocument/2006/relationships/hyperlink" Target="https://abr.ge/7nm4gh" TargetMode="External"/><Relationship Id="rId83" Type="http://schemas.openxmlformats.org/officeDocument/2006/relationships/hyperlink" Target="https://abr.ge/1wswvg" TargetMode="External"/><Relationship Id="rId88" Type="http://schemas.openxmlformats.org/officeDocument/2006/relationships/hyperlink" Target="https://abr.ge/9xn5wg" TargetMode="External"/><Relationship Id="rId111" Type="http://schemas.openxmlformats.org/officeDocument/2006/relationships/hyperlink" Target="https://abr.ge/y56r5lq" TargetMode="External"/><Relationship Id="rId15" Type="http://schemas.openxmlformats.org/officeDocument/2006/relationships/hyperlink" Target="https://covering.onelink.me/yhjQ/ik8xmjrc" TargetMode="External"/><Relationship Id="rId36" Type="http://schemas.openxmlformats.org/officeDocument/2006/relationships/hyperlink" Target="https://covering.onelink.me/yhjQ/xdwml81l" TargetMode="External"/><Relationship Id="rId57" Type="http://schemas.openxmlformats.org/officeDocument/2006/relationships/hyperlink" Target="https://abr.ge/miiu9j" TargetMode="External"/><Relationship Id="rId106" Type="http://schemas.openxmlformats.org/officeDocument/2006/relationships/hyperlink" Target="https://abr.ge/b4o2o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u.jinli/reels/" TargetMode="External"/><Relationship Id="rId21" Type="http://schemas.openxmlformats.org/officeDocument/2006/relationships/hyperlink" Target="https://www.instagram.com/reel/DRg53OcEiac/?igsh=MWIxYm41NzZnZHhtbQ%3D%3D" TargetMode="External"/><Relationship Id="rId42" Type="http://schemas.openxmlformats.org/officeDocument/2006/relationships/hyperlink" Target="https://www.instagram.com/reel/DTZ6-NykxfQ/" TargetMode="External"/><Relationship Id="rId47" Type="http://schemas.openxmlformats.org/officeDocument/2006/relationships/hyperlink" Target="https://www.instagram.com/p/DThdSOdET9i/" TargetMode="External"/><Relationship Id="rId63" Type="http://schemas.openxmlformats.org/officeDocument/2006/relationships/hyperlink" Target="https://www.instagram.com/reel/DWTTdyAkTwx/" TargetMode="External"/><Relationship Id="rId68" Type="http://schemas.openxmlformats.org/officeDocument/2006/relationships/hyperlink" Target="https://www.instagram.com/p/DWWIjfhD3zD/" TargetMode="External"/><Relationship Id="rId16" Type="http://schemas.openxmlformats.org/officeDocument/2006/relationships/hyperlink" Target="https://www.instagram.com/reel/DRRb5v4k5iE/?igsh=MTNkZ2Z4Ymtrc3BvdA==" TargetMode="External"/><Relationship Id="rId11" Type="http://schemas.openxmlformats.org/officeDocument/2006/relationships/hyperlink" Target="https://www.instagram.com/reel/DMxGMCUP0nG/?utm_source=ig_web_copy_link&amp;igsh=MzRlODBiNWFlZA==" TargetMode="External"/><Relationship Id="rId24" Type="http://schemas.openxmlformats.org/officeDocument/2006/relationships/hyperlink" Target="https://www.instagram.com/reel/DRt8M6fky6i/" TargetMode="External"/><Relationship Id="rId32" Type="http://schemas.openxmlformats.org/officeDocument/2006/relationships/hyperlink" Target="https://www.instagram.com/reel/DSSAtrSkkUi/" TargetMode="External"/><Relationship Id="rId37" Type="http://schemas.openxmlformats.org/officeDocument/2006/relationships/hyperlink" Target="https://www.instagram.com/p/DTNiBRfku_J/" TargetMode="External"/><Relationship Id="rId40" Type="http://schemas.openxmlformats.org/officeDocument/2006/relationships/hyperlink" Target="https://www.instagram.com/reel/DTPd5pcgeq3/" TargetMode="External"/><Relationship Id="rId45" Type="http://schemas.openxmlformats.org/officeDocument/2006/relationships/hyperlink" Target="https://www.instagram.com/p/DTcjDdbEf7s/" TargetMode="External"/><Relationship Id="rId53" Type="http://schemas.openxmlformats.org/officeDocument/2006/relationships/hyperlink" Target="https://www.instagram.com/p/DU7eUYlkf6p/" TargetMode="External"/><Relationship Id="rId58" Type="http://schemas.openxmlformats.org/officeDocument/2006/relationships/hyperlink" Target="https://www.instagram.com/reel/DVN_s-zkojx/" TargetMode="External"/><Relationship Id="rId66" Type="http://schemas.openxmlformats.org/officeDocument/2006/relationships/hyperlink" Target="https://www.instagram.com/reel/DWTZQYRkzBj/" TargetMode="External"/><Relationship Id="rId74" Type="http://schemas.openxmlformats.org/officeDocument/2006/relationships/hyperlink" Target="https://www.instagram.com/reel/DXa3_meS5Pk/?igsh=ZmVqc29ubW9wNjVk" TargetMode="External"/><Relationship Id="rId79" Type="http://schemas.openxmlformats.org/officeDocument/2006/relationships/hyperlink" Target="https://www.instagram.com/reel/DXbcT9ZkQ3C/?igsh=MXBrMXBoOHF3MDJpbg%3D%3D" TargetMode="External"/><Relationship Id="rId5" Type="http://schemas.openxmlformats.org/officeDocument/2006/relationships/hyperlink" Target="https://www.tiktok.com/@review_mimizzang/video/7519938285775506696?is_from_webapp=1&amp;sender_device=pc&amp;web_id=7456727815040517633" TargetMode="External"/><Relationship Id="rId61" Type="http://schemas.openxmlformats.org/officeDocument/2006/relationships/hyperlink" Target="https://www.instagram.com/reel/DVN_uTOk9f7/" TargetMode="External"/><Relationship Id="rId19" Type="http://schemas.openxmlformats.org/officeDocument/2006/relationships/hyperlink" Target="https://www.instagram.com/reel/DRcBS3lj3LQ/" TargetMode="External"/><Relationship Id="rId14" Type="http://schemas.openxmlformats.org/officeDocument/2006/relationships/hyperlink" Target="https://www.youtube.com/shorts/ZBlBwm2kQaI" TargetMode="External"/><Relationship Id="rId22" Type="http://schemas.openxmlformats.org/officeDocument/2006/relationships/hyperlink" Target="https://www.instagram.com/reel/DRjdlhyD-Bk/" TargetMode="External"/><Relationship Id="rId27" Type="http://schemas.openxmlformats.org/officeDocument/2006/relationships/hyperlink" Target="https://www.instagram.com/p/DSBt4TFklU1/" TargetMode="External"/><Relationship Id="rId30" Type="http://schemas.openxmlformats.org/officeDocument/2006/relationships/hyperlink" Target="https://www.instagram.com/reel/DSPedTlj3h8/" TargetMode="External"/><Relationship Id="rId35" Type="http://schemas.openxmlformats.org/officeDocument/2006/relationships/hyperlink" Target="https://www.instagram.com/p/DTIDIqPj1oz/" TargetMode="External"/><Relationship Id="rId43" Type="http://schemas.openxmlformats.org/officeDocument/2006/relationships/hyperlink" Target="https://www.instagram.com/p/DTc-vhXkotE/" TargetMode="External"/><Relationship Id="rId48" Type="http://schemas.openxmlformats.org/officeDocument/2006/relationships/hyperlink" Target="https://www.instagram.com/p/DTfFvAHD7q2/" TargetMode="External"/><Relationship Id="rId56" Type="http://schemas.openxmlformats.org/officeDocument/2006/relationships/hyperlink" Target="https://www.instagram.com/p/DU-O6NKEbzP/" TargetMode="External"/><Relationship Id="rId64" Type="http://schemas.openxmlformats.org/officeDocument/2006/relationships/hyperlink" Target="https://www.instagram.com/reel/DWTkEPNkf30/" TargetMode="External"/><Relationship Id="rId69" Type="http://schemas.openxmlformats.org/officeDocument/2006/relationships/hyperlink" Target="https://www.instagram.com/p/DWWMz3pmvzU/" TargetMode="External"/><Relationship Id="rId77" Type="http://schemas.openxmlformats.org/officeDocument/2006/relationships/hyperlink" Target="https://www.instagram.com/reel/DXa1ffNjyCf/?igsh=NXZnemt0NmY0YzFo" TargetMode="External"/><Relationship Id="rId8" Type="http://schemas.openxmlformats.org/officeDocument/2006/relationships/hyperlink" Target="https://www.instagram.com/reel/DMuePF7xWVZ/?utm_source=ig_web_copy_link&amp;igsh=MzRlODBiNWFlZA==" TargetMode="External"/><Relationship Id="rId51" Type="http://schemas.openxmlformats.org/officeDocument/2006/relationships/hyperlink" Target="https://www.instagram.com/reel/DTkIy1CEs8N/" TargetMode="External"/><Relationship Id="rId72" Type="http://schemas.openxmlformats.org/officeDocument/2006/relationships/hyperlink" Target="https://www.instagram.com/p/DWXlvM_Eqk-/" TargetMode="External"/><Relationship Id="rId3" Type="http://schemas.openxmlformats.org/officeDocument/2006/relationships/hyperlink" Target="https://www.youtube.com/shorts/wvRDxw3fsQ0" TargetMode="External"/><Relationship Id="rId12" Type="http://schemas.openxmlformats.org/officeDocument/2006/relationships/hyperlink" Target="https://www.youtube.com/shorts/eKO9OcxF9IU" TargetMode="External"/><Relationship Id="rId17" Type="http://schemas.openxmlformats.org/officeDocument/2006/relationships/hyperlink" Target="https://www.instagram.com/reel/DRY0em0E6vH/" TargetMode="External"/><Relationship Id="rId25" Type="http://schemas.openxmlformats.org/officeDocument/2006/relationships/hyperlink" Target="https://www.instagram.com/reel/DR9Ur-mD44Z/" TargetMode="External"/><Relationship Id="rId33" Type="http://schemas.openxmlformats.org/officeDocument/2006/relationships/hyperlink" Target="https://www.instagram.com/reel/DS-K7MkkyFG/" TargetMode="External"/><Relationship Id="rId38" Type="http://schemas.openxmlformats.org/officeDocument/2006/relationships/hyperlink" Target="https://www.instagram.com/reel/DTPZy5qCYWB/?igsh=Z3RoNXNra3RhdWd2" TargetMode="External"/><Relationship Id="rId46" Type="http://schemas.openxmlformats.org/officeDocument/2006/relationships/hyperlink" Target="https://www.instagram.com/reel/DTcqFKSErh0/" TargetMode="External"/><Relationship Id="rId59" Type="http://schemas.openxmlformats.org/officeDocument/2006/relationships/hyperlink" Target="https://www.instagram.com/reel/DU8H1GoEqHA/" TargetMode="External"/><Relationship Id="rId67" Type="http://schemas.openxmlformats.org/officeDocument/2006/relationships/hyperlink" Target="https://www.instagram.com/reel/DWTYwtRCatK/" TargetMode="External"/><Relationship Id="rId20" Type="http://schemas.openxmlformats.org/officeDocument/2006/relationships/hyperlink" Target="https://www.instagram.com/reel/DRdkALxk_rO/?igsh=MTBldzlsY3o3Z2dxcg==" TargetMode="External"/><Relationship Id="rId41" Type="http://schemas.openxmlformats.org/officeDocument/2006/relationships/hyperlink" Target="https://www.instagram.com/p/DTaHAdcEp4y/" TargetMode="External"/><Relationship Id="rId54" Type="http://schemas.openxmlformats.org/officeDocument/2006/relationships/hyperlink" Target="https://www.instagram.com/reel/DU7_2NAEfIi/" TargetMode="External"/><Relationship Id="rId62" Type="http://schemas.openxmlformats.org/officeDocument/2006/relationships/hyperlink" Target="https://www.instagram.com/reel/DVGQRB4kprW/?utm_source=ig_web_copy_link&amp;igsh=MzRlODBiNWFlZA==" TargetMode="External"/><Relationship Id="rId70" Type="http://schemas.openxmlformats.org/officeDocument/2006/relationships/hyperlink" Target="https://www.instagram.com/p/DWWOjICE79k/" TargetMode="External"/><Relationship Id="rId75" Type="http://schemas.openxmlformats.org/officeDocument/2006/relationships/hyperlink" Target="https://www.instagram.com/reel/DXa17vLTFpt/" TargetMode="External"/><Relationship Id="rId1" Type="http://schemas.openxmlformats.org/officeDocument/2006/relationships/hyperlink" Target="https://www.youtube.com/shorts/AgvN328OwoA" TargetMode="External"/><Relationship Id="rId6" Type="http://schemas.openxmlformats.org/officeDocument/2006/relationships/hyperlink" Target="https://www.youtube.com/shorts/yF1cSz1h-MU" TargetMode="External"/><Relationship Id="rId15" Type="http://schemas.openxmlformats.org/officeDocument/2006/relationships/hyperlink" Target="https://www.youtube.com/shorts/G9Kad7XyB98" TargetMode="External"/><Relationship Id="rId23" Type="http://schemas.openxmlformats.org/officeDocument/2006/relationships/hyperlink" Target="https://www.instagram.com/reel/DRjrNCpkyVf/?igsh=MWk2Nmh2bzgza3VlcQ%3D%3D" TargetMode="External"/><Relationship Id="rId28" Type="http://schemas.openxmlformats.org/officeDocument/2006/relationships/hyperlink" Target="https://www.instagram.com/reel/DSHjpz0EVjR/?igsh=N3pwOXFtcjM5ZmZx" TargetMode="External"/><Relationship Id="rId36" Type="http://schemas.openxmlformats.org/officeDocument/2006/relationships/hyperlink" Target="https://www.instagram.com/p/DTKaDOqE7Bi/" TargetMode="External"/><Relationship Id="rId49" Type="http://schemas.openxmlformats.org/officeDocument/2006/relationships/hyperlink" Target="https://www.instagram.com/p/DTh4G6vk64K/" TargetMode="External"/><Relationship Id="rId57" Type="http://schemas.openxmlformats.org/officeDocument/2006/relationships/hyperlink" Target="https://www.instagram.com/reel/DU-iyUgkVKb/" TargetMode="External"/><Relationship Id="rId10" Type="http://schemas.openxmlformats.org/officeDocument/2006/relationships/hyperlink" Target="https://youtube.com/shorts/qNg1SQTSO6M?si=fLhdhYOqxisSlhhx" TargetMode="External"/><Relationship Id="rId31" Type="http://schemas.openxmlformats.org/officeDocument/2006/relationships/hyperlink" Target="https://www.instagram.com/reel/DSR-js7kvNT/" TargetMode="External"/><Relationship Id="rId44" Type="http://schemas.openxmlformats.org/officeDocument/2006/relationships/hyperlink" Target="https://www.instagram.com/p/DTc5Ov8kmiX/" TargetMode="External"/><Relationship Id="rId52" Type="http://schemas.openxmlformats.org/officeDocument/2006/relationships/hyperlink" Target="https://www.instagram.com/p/DTkRcjaARK3/" TargetMode="External"/><Relationship Id="rId60" Type="http://schemas.openxmlformats.org/officeDocument/2006/relationships/hyperlink" Target="https://www.instagram.com/reel/DVN-GFJEx1N/" TargetMode="External"/><Relationship Id="rId65" Type="http://schemas.openxmlformats.org/officeDocument/2006/relationships/hyperlink" Target="https://www.instagram.com/reel/DWTdxBrE0qT/" TargetMode="External"/><Relationship Id="rId73" Type="http://schemas.openxmlformats.org/officeDocument/2006/relationships/hyperlink" Target="https://www.instagram.com/p/DXawkkuk53F/" TargetMode="External"/><Relationship Id="rId78" Type="http://schemas.openxmlformats.org/officeDocument/2006/relationships/hyperlink" Target="https://www.instagram.com/reel/DXdVdNtCV7s/" TargetMode="External"/><Relationship Id="rId4" Type="http://schemas.openxmlformats.org/officeDocument/2006/relationships/hyperlink" Target="https://www.instagram.com/reel/DLXI9emJkZk/?utm_source=ig_web_copy_link&amp;igsh=MzRlODBiNWFlZA==" TargetMode="External"/><Relationship Id="rId9" Type="http://schemas.openxmlformats.org/officeDocument/2006/relationships/hyperlink" Target="https://www.youtube.com/shorts/cZryABkGdG0" TargetMode="External"/><Relationship Id="rId13" Type="http://schemas.openxmlformats.org/officeDocument/2006/relationships/hyperlink" Target="https://www.instagram.com/reel/DOxyL51EaO-/" TargetMode="External"/><Relationship Id="rId18" Type="http://schemas.openxmlformats.org/officeDocument/2006/relationships/hyperlink" Target="https://www.instagram.com/reel/DRbvLDSj1fT/" TargetMode="External"/><Relationship Id="rId39" Type="http://schemas.openxmlformats.org/officeDocument/2006/relationships/hyperlink" Target="https://www.instagram.com/reel/DTNTLkmkwyU/" TargetMode="External"/><Relationship Id="rId34" Type="http://schemas.openxmlformats.org/officeDocument/2006/relationships/hyperlink" Target="https://www.instagram.com/p/DTB8M8Rj7uR/" TargetMode="External"/><Relationship Id="rId50" Type="http://schemas.openxmlformats.org/officeDocument/2006/relationships/hyperlink" Target="https://www.instagram.com/reel/DTiOmWTif1T/" TargetMode="External"/><Relationship Id="rId55" Type="http://schemas.openxmlformats.org/officeDocument/2006/relationships/hyperlink" Target="https://www.instagram.com/p/DU9qcYEE0He/" TargetMode="External"/><Relationship Id="rId76" Type="http://schemas.openxmlformats.org/officeDocument/2006/relationships/hyperlink" Target="https://www.instagram.com/reel/DXbxhh_EnF9/?igsh=bmQxNTg3bWE2ZGFx" TargetMode="External"/><Relationship Id="rId7" Type="http://schemas.openxmlformats.org/officeDocument/2006/relationships/hyperlink" Target="https://www.youtube.com/shorts/wgWAEgRrIgk" TargetMode="External"/><Relationship Id="rId71" Type="http://schemas.openxmlformats.org/officeDocument/2006/relationships/hyperlink" Target="https://www.instagram.com/p/DWXfwe7Eurc/" TargetMode="External"/><Relationship Id="rId2" Type="http://schemas.openxmlformats.org/officeDocument/2006/relationships/hyperlink" Target="https://www.instagram.com/reel/DLHWbDxRIaw/?utm_source=ig_web_copy_link&amp;igsh=MzRlODBiNWFlZA==" TargetMode="External"/><Relationship Id="rId29" Type="http://schemas.openxmlformats.org/officeDocument/2006/relationships/hyperlink" Target="https://www.instagram.com/reel/DSHlSHJCZZr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gma.com/deck/sFOa8Aft1340MgxVjdlO3u/%EC%9D%B8%ED%8F%AC%ED%81%AC-%EC%85%80%EB%A0%89%ED%8B%B0%EB%93%9C-%EB%A6%B4%EC%8A%A4-%EC%83%81%ED%92%88?node-id=108-45&amp;t=iH5aZhSh5tx94IjY-1" TargetMode="External"/><Relationship Id="rId3" Type="http://schemas.openxmlformats.org/officeDocument/2006/relationships/hyperlink" Target="https://drive.google.com/file/d/1Xmemt-j-M_ar8TvH5eeJoJDgjJBoioBA/view?usp=drive_link" TargetMode="External"/><Relationship Id="rId7" Type="http://schemas.openxmlformats.org/officeDocument/2006/relationships/hyperlink" Target="https://drive.google.com/file/d/1bZOeFvCmqcgu4BeDC6V0RwfT3yhzyCnS/view?usp=drive_link" TargetMode="External"/><Relationship Id="rId2" Type="http://schemas.openxmlformats.org/officeDocument/2006/relationships/hyperlink" Target="https://drive.google.com/file/d/1z069ZIFf9AjMllAiFmArTOsHIuygarab/view?usp=drive_link" TargetMode="External"/><Relationship Id="rId1" Type="http://schemas.openxmlformats.org/officeDocument/2006/relationships/hyperlink" Target="https://drive.google.com/file/d/1XSVCWjV8VGJ3rJwb-B5PRl81xbiiNB0G/view?usp=drive_link" TargetMode="External"/><Relationship Id="rId6" Type="http://schemas.openxmlformats.org/officeDocument/2006/relationships/hyperlink" Target="https://drive.google.com/file/d/1N1FptD9CToce0HT2o2pIZRn1QCR3IwNt/view?usp=drive_link" TargetMode="External"/><Relationship Id="rId5" Type="http://schemas.openxmlformats.org/officeDocument/2006/relationships/hyperlink" Target="https://drive.google.com/file/d/1HaOHN9JUu4L7nLD0zBlyFTvg7gOoPBK8/view?usp=drive_link" TargetMode="External"/><Relationship Id="rId4" Type="http://schemas.openxmlformats.org/officeDocument/2006/relationships/hyperlink" Target="https://drive.google.com/file/d/1CQb_ej6TUTCuoOeMugx9w7HOFzLFPKT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6"/>
  <sheetViews>
    <sheetView topLeftCell="E1" workbookViewId="0">
      <pane ySplit="13" topLeftCell="A14" activePane="bottomLeft" state="frozen"/>
      <selection pane="bottomLeft" activeCell="B15" sqref="B15"/>
    </sheetView>
  </sheetViews>
  <sheetFormatPr defaultColWidth="14.42578125" defaultRowHeight="15.75" customHeight="1"/>
  <cols>
    <col min="1" max="1" width="4" customWidth="1"/>
    <col min="2" max="2" width="21.140625" customWidth="1"/>
    <col min="3" max="3" width="16.28515625" customWidth="1"/>
    <col min="4" max="4" width="14.5703125" customWidth="1"/>
    <col min="5" max="5" width="41.85546875" customWidth="1"/>
    <col min="6" max="6" width="36.42578125" customWidth="1"/>
    <col min="7" max="7" width="14.85546875" customWidth="1"/>
    <col min="8" max="8" width="39" customWidth="1"/>
    <col min="9" max="9" width="26.85546875" customWidth="1"/>
    <col min="10" max="10" width="24.7109375" customWidth="1"/>
    <col min="11" max="28" width="8.7109375" customWidth="1"/>
  </cols>
  <sheetData>
    <row r="1" spans="1:28" ht="16.5" customHeight="1">
      <c r="A1" s="8"/>
      <c r="B1" s="9" t="s">
        <v>5</v>
      </c>
      <c r="C1" s="8"/>
      <c r="D1" s="8"/>
      <c r="E1" s="8"/>
      <c r="F1" s="8"/>
      <c r="G1" s="8"/>
      <c r="H1" s="10" t="s">
        <v>14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16.5" customHeight="1">
      <c r="A2" s="8"/>
      <c r="B2" s="8" t="s">
        <v>15</v>
      </c>
      <c r="C2" s="8"/>
      <c r="D2" s="8"/>
      <c r="E2" s="11" t="s">
        <v>16</v>
      </c>
      <c r="F2" s="11" t="s">
        <v>17</v>
      </c>
      <c r="G2" s="8"/>
      <c r="H2" s="12" t="s">
        <v>18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6.5" customHeight="1">
      <c r="A3" s="8"/>
      <c r="B3" s="8" t="s">
        <v>19</v>
      </c>
      <c r="C3" s="8"/>
      <c r="D3" s="8"/>
      <c r="E3" s="13" t="s">
        <v>20</v>
      </c>
      <c r="F3" s="14" t="s">
        <v>21</v>
      </c>
      <c r="G3" s="8"/>
      <c r="H3" s="12" t="s">
        <v>22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6.5" customHeight="1">
      <c r="A4" s="8"/>
      <c r="B4" s="8" t="s">
        <v>23</v>
      </c>
      <c r="C4" s="8"/>
      <c r="D4" s="8"/>
      <c r="E4" s="15" t="s">
        <v>24</v>
      </c>
      <c r="F4" s="14" t="s">
        <v>25</v>
      </c>
      <c r="G4" s="8"/>
      <c r="H4" s="12" t="s">
        <v>26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16.5" customHeight="1">
      <c r="A5" s="8"/>
      <c r="B5" s="8" t="s">
        <v>27</v>
      </c>
      <c r="C5" s="8"/>
      <c r="D5" s="8"/>
      <c r="E5" s="15" t="s">
        <v>28</v>
      </c>
      <c r="F5" s="14" t="s">
        <v>29</v>
      </c>
      <c r="G5" s="8"/>
      <c r="H5" s="12" t="s">
        <v>30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16.5" customHeight="1">
      <c r="A6" s="8"/>
      <c r="B6" s="8" t="s">
        <v>31</v>
      </c>
      <c r="C6" s="8"/>
      <c r="D6" s="8"/>
      <c r="E6" s="15"/>
      <c r="F6" s="16" t="s">
        <v>32</v>
      </c>
      <c r="G6" s="8"/>
      <c r="H6" s="12" t="s">
        <v>33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16.5" customHeight="1">
      <c r="A7" s="8"/>
      <c r="B7" s="17" t="s">
        <v>34</v>
      </c>
      <c r="C7" s="8"/>
      <c r="D7" s="8"/>
      <c r="E7" s="8"/>
      <c r="F7" s="8"/>
      <c r="G7" s="8"/>
      <c r="H7" s="12" t="s">
        <v>35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16.5" customHeight="1">
      <c r="A8" s="8"/>
      <c r="B8" s="17" t="s">
        <v>36</v>
      </c>
      <c r="C8" s="8"/>
      <c r="D8" s="8"/>
      <c r="E8" s="8"/>
      <c r="F8" s="8"/>
      <c r="G8" s="8"/>
      <c r="H8" s="18" t="s">
        <v>37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16.5" customHeight="1">
      <c r="A9" s="8"/>
      <c r="B9" s="17" t="s">
        <v>38</v>
      </c>
      <c r="C9" s="8"/>
      <c r="D9" s="8"/>
      <c r="E9" s="8"/>
      <c r="F9" s="8"/>
      <c r="G9" s="8"/>
      <c r="H9" s="1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16.5" customHeight="1">
      <c r="A10" s="8"/>
      <c r="B10" s="19" t="s">
        <v>39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16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6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27" customHeight="1">
      <c r="A13" s="8"/>
      <c r="B13" s="20" t="s">
        <v>40</v>
      </c>
      <c r="C13" s="20" t="s">
        <v>41</v>
      </c>
      <c r="D13" s="20" t="s">
        <v>42</v>
      </c>
      <c r="E13" s="21" t="s">
        <v>43</v>
      </c>
      <c r="F13" s="21" t="s">
        <v>44</v>
      </c>
      <c r="G13" s="21" t="s">
        <v>6</v>
      </c>
      <c r="H13" s="8"/>
      <c r="I13" s="21" t="s">
        <v>45</v>
      </c>
      <c r="J13" s="21" t="s">
        <v>46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6.5" customHeight="1">
      <c r="A14" s="8"/>
      <c r="B14" s="3" t="s">
        <v>47</v>
      </c>
      <c r="C14" s="3" t="s">
        <v>48</v>
      </c>
      <c r="D14" s="3" t="s">
        <v>49</v>
      </c>
      <c r="E14" s="3" t="s">
        <v>50</v>
      </c>
      <c r="F14" s="17" t="s">
        <v>51</v>
      </c>
      <c r="G14" s="22" t="s">
        <v>52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16.5" customHeight="1">
      <c r="A15" s="8"/>
      <c r="B15" s="3" t="s">
        <v>53</v>
      </c>
      <c r="C15" s="3" t="s">
        <v>54</v>
      </c>
      <c r="D15" s="3" t="s">
        <v>55</v>
      </c>
      <c r="E15" s="3" t="s">
        <v>56</v>
      </c>
      <c r="F15" s="17" t="s">
        <v>57</v>
      </c>
      <c r="G15" s="22" t="s">
        <v>58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6.5" customHeight="1">
      <c r="A16" s="8"/>
      <c r="B16" s="3" t="s">
        <v>53</v>
      </c>
      <c r="C16" s="3" t="s">
        <v>54</v>
      </c>
      <c r="D16" s="3" t="s">
        <v>59</v>
      </c>
      <c r="E16" s="3" t="s">
        <v>60</v>
      </c>
      <c r="F16" s="17" t="s">
        <v>61</v>
      </c>
      <c r="G16" s="22" t="s">
        <v>62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6.5" customHeight="1">
      <c r="A17" s="8"/>
      <c r="B17" s="3" t="s">
        <v>63</v>
      </c>
      <c r="C17" s="3" t="s">
        <v>64</v>
      </c>
      <c r="D17" s="3" t="s">
        <v>65</v>
      </c>
      <c r="E17" s="3" t="s">
        <v>66</v>
      </c>
      <c r="F17" s="17" t="s">
        <v>67</v>
      </c>
      <c r="G17" s="22" t="s">
        <v>68</v>
      </c>
      <c r="H17" s="23" t="s">
        <v>69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6.5" customHeight="1">
      <c r="A18" s="8"/>
      <c r="B18" s="3" t="s">
        <v>70</v>
      </c>
      <c r="C18" s="3" t="s">
        <v>71</v>
      </c>
      <c r="D18" s="3" t="s">
        <v>72</v>
      </c>
      <c r="E18" s="3" t="s">
        <v>73</v>
      </c>
      <c r="F18" s="17" t="s">
        <v>74</v>
      </c>
      <c r="G18" s="22" t="s">
        <v>58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6.5" customHeight="1">
      <c r="A19" s="8"/>
      <c r="B19" s="3" t="s">
        <v>70</v>
      </c>
      <c r="C19" s="3" t="s">
        <v>71</v>
      </c>
      <c r="D19" s="3" t="s">
        <v>75</v>
      </c>
      <c r="E19" s="3" t="s">
        <v>76</v>
      </c>
      <c r="F19" s="17" t="s">
        <v>77</v>
      </c>
      <c r="G19" s="22" t="s">
        <v>58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6.5" customHeight="1">
      <c r="A20" s="8"/>
      <c r="B20" s="24" t="s">
        <v>70</v>
      </c>
      <c r="C20" s="24" t="s">
        <v>71</v>
      </c>
      <c r="D20" s="24" t="s">
        <v>78</v>
      </c>
      <c r="E20" s="24" t="s">
        <v>79</v>
      </c>
      <c r="F20" s="17" t="s">
        <v>80</v>
      </c>
      <c r="G20" s="22" t="s">
        <v>58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6.5" customHeight="1">
      <c r="A21" s="8"/>
      <c r="B21" s="3" t="s">
        <v>70</v>
      </c>
      <c r="C21" s="3" t="s">
        <v>71</v>
      </c>
      <c r="D21" s="3" t="s">
        <v>8</v>
      </c>
      <c r="E21" s="3" t="s">
        <v>81</v>
      </c>
      <c r="F21" s="17" t="s">
        <v>51</v>
      </c>
      <c r="G21" s="2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6.5" customHeight="1">
      <c r="A22" s="8"/>
      <c r="B22" s="3" t="s">
        <v>9</v>
      </c>
      <c r="C22" s="3" t="s">
        <v>71</v>
      </c>
      <c r="D22" s="3" t="s">
        <v>82</v>
      </c>
      <c r="E22" s="3" t="s">
        <v>83</v>
      </c>
      <c r="F22" s="17" t="s">
        <v>51</v>
      </c>
      <c r="G22" s="22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6.5" customHeight="1">
      <c r="A23" s="8"/>
      <c r="B23" s="3" t="s">
        <v>84</v>
      </c>
      <c r="C23" s="3" t="s">
        <v>64</v>
      </c>
      <c r="D23" s="3" t="s">
        <v>85</v>
      </c>
      <c r="E23" s="3" t="s">
        <v>86</v>
      </c>
      <c r="F23" s="17" t="s">
        <v>67</v>
      </c>
      <c r="G23" s="22" t="s">
        <v>68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6.5" customHeight="1">
      <c r="A24" s="8"/>
      <c r="B24" s="3" t="s">
        <v>47</v>
      </c>
      <c r="C24" s="3" t="s">
        <v>48</v>
      </c>
      <c r="D24" s="3" t="s">
        <v>87</v>
      </c>
      <c r="E24" s="3" t="s">
        <v>88</v>
      </c>
      <c r="F24" s="17" t="s">
        <v>89</v>
      </c>
      <c r="G24" s="22" t="s">
        <v>68</v>
      </c>
      <c r="H24" s="25" t="s">
        <v>90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6.5" customHeight="1">
      <c r="A25" s="8"/>
      <c r="B25" s="3" t="s">
        <v>91</v>
      </c>
      <c r="C25" s="3" t="s">
        <v>71</v>
      </c>
      <c r="D25" s="3" t="s">
        <v>92</v>
      </c>
      <c r="E25" s="3" t="s">
        <v>93</v>
      </c>
      <c r="F25" s="17" t="s">
        <v>67</v>
      </c>
      <c r="G25" s="22" t="s">
        <v>68</v>
      </c>
      <c r="H25" s="25" t="s">
        <v>94</v>
      </c>
      <c r="I25" s="17" t="s">
        <v>95</v>
      </c>
      <c r="J25" s="17" t="s">
        <v>96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6.5" customHeight="1">
      <c r="A26" s="8"/>
      <c r="B26" s="3" t="s">
        <v>91</v>
      </c>
      <c r="C26" s="3" t="s">
        <v>71</v>
      </c>
      <c r="D26" s="3" t="s">
        <v>92</v>
      </c>
      <c r="E26" s="3" t="s">
        <v>97</v>
      </c>
      <c r="F26" s="17" t="s">
        <v>67</v>
      </c>
      <c r="G26" s="22" t="s">
        <v>68</v>
      </c>
      <c r="H26" s="25" t="s">
        <v>98</v>
      </c>
      <c r="I26" s="17" t="s">
        <v>99</v>
      </c>
      <c r="J26" s="17" t="s">
        <v>100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6.5" customHeight="1">
      <c r="A27" s="8"/>
      <c r="B27" s="3" t="s">
        <v>91</v>
      </c>
      <c r="C27" s="3" t="s">
        <v>71</v>
      </c>
      <c r="D27" s="3" t="s">
        <v>92</v>
      </c>
      <c r="E27" s="3" t="s">
        <v>101</v>
      </c>
      <c r="F27" s="17" t="s">
        <v>67</v>
      </c>
      <c r="G27" s="22" t="s">
        <v>68</v>
      </c>
      <c r="H27" s="25" t="s">
        <v>102</v>
      </c>
      <c r="I27" s="17" t="s">
        <v>103</v>
      </c>
      <c r="J27" s="17" t="s">
        <v>104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6.5" customHeight="1">
      <c r="A28" s="8"/>
      <c r="B28" s="3" t="s">
        <v>91</v>
      </c>
      <c r="C28" s="3" t="s">
        <v>71</v>
      </c>
      <c r="D28" s="3" t="s">
        <v>92</v>
      </c>
      <c r="E28" s="3" t="s">
        <v>105</v>
      </c>
      <c r="F28" s="17" t="s">
        <v>67</v>
      </c>
      <c r="G28" s="22" t="s">
        <v>68</v>
      </c>
      <c r="H28" s="26" t="s">
        <v>106</v>
      </c>
      <c r="I28" s="17" t="s">
        <v>107</v>
      </c>
      <c r="J28" s="17" t="s">
        <v>108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6.5" customHeight="1">
      <c r="A29" s="8"/>
      <c r="B29" s="3" t="s">
        <v>91</v>
      </c>
      <c r="C29" s="3" t="s">
        <v>71</v>
      </c>
      <c r="D29" s="3" t="s">
        <v>92</v>
      </c>
      <c r="E29" s="3" t="s">
        <v>109</v>
      </c>
      <c r="F29" s="17" t="s">
        <v>67</v>
      </c>
      <c r="G29" s="22" t="s">
        <v>68</v>
      </c>
      <c r="H29" s="26" t="s">
        <v>110</v>
      </c>
      <c r="I29" s="17" t="s">
        <v>111</v>
      </c>
      <c r="J29" s="17" t="s">
        <v>112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6.5" customHeight="1">
      <c r="A30" s="8"/>
      <c r="B30" s="3" t="s">
        <v>91</v>
      </c>
      <c r="C30" s="3" t="s">
        <v>71</v>
      </c>
      <c r="D30" s="3" t="s">
        <v>92</v>
      </c>
      <c r="E30" s="3" t="s">
        <v>113</v>
      </c>
      <c r="F30" s="17" t="s">
        <v>67</v>
      </c>
      <c r="G30" s="22" t="s">
        <v>68</v>
      </c>
      <c r="H30" s="25" t="s">
        <v>114</v>
      </c>
      <c r="I30" s="17" t="s">
        <v>115</v>
      </c>
      <c r="J30" s="17" t="s">
        <v>116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6.5" customHeight="1">
      <c r="A31" s="8"/>
      <c r="B31" s="3" t="s">
        <v>91</v>
      </c>
      <c r="C31" s="3" t="s">
        <v>71</v>
      </c>
      <c r="D31" s="3" t="s">
        <v>117</v>
      </c>
      <c r="E31" s="3" t="s">
        <v>118</v>
      </c>
      <c r="F31" s="17" t="s">
        <v>67</v>
      </c>
      <c r="G31" s="22" t="s">
        <v>68</v>
      </c>
      <c r="H31" s="25" t="s">
        <v>119</v>
      </c>
      <c r="I31" s="17" t="s">
        <v>120</v>
      </c>
      <c r="J31" s="17" t="s">
        <v>121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6.5" customHeight="1">
      <c r="A32" s="8"/>
      <c r="B32" s="3" t="s">
        <v>91</v>
      </c>
      <c r="C32" s="3" t="s">
        <v>71</v>
      </c>
      <c r="D32" s="3" t="s">
        <v>117</v>
      </c>
      <c r="E32" s="3" t="s">
        <v>122</v>
      </c>
      <c r="F32" s="17" t="s">
        <v>67</v>
      </c>
      <c r="G32" s="22" t="s">
        <v>68</v>
      </c>
      <c r="H32" s="25" t="s">
        <v>123</v>
      </c>
      <c r="I32" s="17" t="s">
        <v>124</v>
      </c>
      <c r="J32" s="17" t="s">
        <v>125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6.5" customHeight="1">
      <c r="A33" s="8"/>
      <c r="B33" s="3" t="s">
        <v>47</v>
      </c>
      <c r="C33" s="3" t="s">
        <v>48</v>
      </c>
      <c r="D33" s="3" t="s">
        <v>87</v>
      </c>
      <c r="E33" s="3" t="s">
        <v>126</v>
      </c>
      <c r="F33" s="17" t="s">
        <v>89</v>
      </c>
      <c r="G33" s="22" t="s">
        <v>68</v>
      </c>
      <c r="H33" s="27" t="s">
        <v>127</v>
      </c>
      <c r="I33" s="1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6.5" customHeight="1">
      <c r="A34" s="8"/>
      <c r="B34" s="3" t="s">
        <v>91</v>
      </c>
      <c r="C34" s="3" t="s">
        <v>71</v>
      </c>
      <c r="D34" s="3" t="s">
        <v>117</v>
      </c>
      <c r="E34" s="3" t="s">
        <v>128</v>
      </c>
      <c r="F34" s="17" t="s">
        <v>67</v>
      </c>
      <c r="G34" s="22" t="s">
        <v>68</v>
      </c>
      <c r="H34" s="25" t="s">
        <v>129</v>
      </c>
      <c r="I34" s="17" t="s">
        <v>130</v>
      </c>
      <c r="J34" s="17" t="s">
        <v>131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6.5" customHeight="1">
      <c r="A35" s="8"/>
      <c r="B35" s="3" t="s">
        <v>91</v>
      </c>
      <c r="C35" s="3" t="s">
        <v>71</v>
      </c>
      <c r="D35" s="3" t="s">
        <v>117</v>
      </c>
      <c r="E35" s="3" t="s">
        <v>132</v>
      </c>
      <c r="F35" s="17" t="s">
        <v>67</v>
      </c>
      <c r="G35" s="22" t="s">
        <v>68</v>
      </c>
      <c r="H35" s="25" t="s">
        <v>133</v>
      </c>
      <c r="I35" s="17" t="s">
        <v>134</v>
      </c>
      <c r="J35" s="17" t="s">
        <v>135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6.5" customHeight="1">
      <c r="A36" s="8"/>
      <c r="B36" s="3" t="s">
        <v>91</v>
      </c>
      <c r="C36" s="3" t="s">
        <v>71</v>
      </c>
      <c r="D36" s="3" t="s">
        <v>136</v>
      </c>
      <c r="E36" s="3" t="s">
        <v>137</v>
      </c>
      <c r="F36" s="17" t="s">
        <v>67</v>
      </c>
      <c r="G36" s="22" t="s">
        <v>68</v>
      </c>
      <c r="H36" s="25" t="s">
        <v>138</v>
      </c>
      <c r="I36" s="17" t="s">
        <v>139</v>
      </c>
      <c r="J36" s="17" t="s">
        <v>140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6.5" customHeight="1">
      <c r="A37" s="8"/>
      <c r="B37" s="3" t="s">
        <v>91</v>
      </c>
      <c r="C37" s="3" t="s">
        <v>71</v>
      </c>
      <c r="D37" s="3" t="s">
        <v>92</v>
      </c>
      <c r="E37" s="3" t="s">
        <v>141</v>
      </c>
      <c r="F37" s="17" t="s">
        <v>67</v>
      </c>
      <c r="G37" s="22" t="s">
        <v>68</v>
      </c>
      <c r="H37" s="26" t="s">
        <v>142</v>
      </c>
      <c r="I37" s="17" t="s">
        <v>143</v>
      </c>
      <c r="J37" s="17" t="s">
        <v>144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6.5" customHeight="1">
      <c r="A38" s="8"/>
      <c r="B38" s="3" t="s">
        <v>91</v>
      </c>
      <c r="C38" s="3" t="s">
        <v>71</v>
      </c>
      <c r="D38" s="3" t="s">
        <v>92</v>
      </c>
      <c r="E38" s="3" t="s">
        <v>145</v>
      </c>
      <c r="F38" s="17" t="s">
        <v>67</v>
      </c>
      <c r="G38" s="22" t="s">
        <v>68</v>
      </c>
      <c r="H38" s="26" t="s">
        <v>146</v>
      </c>
      <c r="I38" s="17" t="s">
        <v>147</v>
      </c>
      <c r="J38" s="17" t="s">
        <v>148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6.5" customHeight="1">
      <c r="A39" s="8"/>
      <c r="B39" s="3" t="s">
        <v>91</v>
      </c>
      <c r="C39" s="3" t="s">
        <v>71</v>
      </c>
      <c r="D39" s="3" t="s">
        <v>92</v>
      </c>
      <c r="E39" s="3" t="s">
        <v>149</v>
      </c>
      <c r="F39" s="17" t="s">
        <v>67</v>
      </c>
      <c r="G39" s="22" t="s">
        <v>68</v>
      </c>
      <c r="H39" s="26" t="s">
        <v>150</v>
      </c>
      <c r="I39" s="17" t="s">
        <v>151</v>
      </c>
      <c r="J39" s="17" t="s">
        <v>152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6.5" customHeight="1">
      <c r="A40" s="8"/>
      <c r="B40" s="3" t="s">
        <v>91</v>
      </c>
      <c r="C40" s="3" t="s">
        <v>71</v>
      </c>
      <c r="D40" s="3" t="s">
        <v>92</v>
      </c>
      <c r="E40" s="3" t="s">
        <v>153</v>
      </c>
      <c r="F40" s="17" t="s">
        <v>67</v>
      </c>
      <c r="G40" s="22" t="s">
        <v>68</v>
      </c>
      <c r="H40" s="26" t="s">
        <v>154</v>
      </c>
      <c r="I40" s="17" t="s">
        <v>155</v>
      </c>
      <c r="J40" s="17" t="s">
        <v>156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6.5" customHeight="1">
      <c r="A41" s="8"/>
      <c r="B41" s="3" t="s">
        <v>91</v>
      </c>
      <c r="C41" s="3" t="s">
        <v>71</v>
      </c>
      <c r="D41" s="3" t="s">
        <v>136</v>
      </c>
      <c r="E41" s="3" t="s">
        <v>157</v>
      </c>
      <c r="F41" s="17" t="s">
        <v>67</v>
      </c>
      <c r="G41" s="22" t="s">
        <v>68</v>
      </c>
      <c r="H41" s="25" t="s">
        <v>158</v>
      </c>
      <c r="I41" s="17" t="s">
        <v>159</v>
      </c>
      <c r="J41" s="17" t="s">
        <v>160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6.5" customHeight="1">
      <c r="A42" s="8"/>
      <c r="B42" s="3" t="s">
        <v>91</v>
      </c>
      <c r="C42" s="3" t="s">
        <v>71</v>
      </c>
      <c r="D42" s="3" t="s">
        <v>161</v>
      </c>
      <c r="E42" s="3" t="s">
        <v>162</v>
      </c>
      <c r="F42" s="17" t="s">
        <v>67</v>
      </c>
      <c r="G42" s="22" t="s">
        <v>68</v>
      </c>
      <c r="H42" s="26" t="s">
        <v>163</v>
      </c>
      <c r="I42" s="17" t="s">
        <v>164</v>
      </c>
      <c r="J42" s="17" t="s">
        <v>165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6.5" customHeight="1">
      <c r="A43" s="8"/>
      <c r="B43" s="3" t="s">
        <v>91</v>
      </c>
      <c r="C43" s="3" t="s">
        <v>71</v>
      </c>
      <c r="D43" s="3" t="s">
        <v>161</v>
      </c>
      <c r="E43" s="3" t="s">
        <v>166</v>
      </c>
      <c r="F43" s="17" t="s">
        <v>67</v>
      </c>
      <c r="G43" s="22" t="s">
        <v>68</v>
      </c>
      <c r="H43" s="26" t="s">
        <v>167</v>
      </c>
      <c r="I43" s="17" t="s">
        <v>168</v>
      </c>
      <c r="J43" s="17" t="s">
        <v>169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6.5" customHeight="1">
      <c r="A44" s="8"/>
      <c r="B44" s="3" t="s">
        <v>91</v>
      </c>
      <c r="C44" s="3" t="s">
        <v>71</v>
      </c>
      <c r="D44" s="3" t="s">
        <v>170</v>
      </c>
      <c r="E44" s="3" t="s">
        <v>171</v>
      </c>
      <c r="F44" s="17" t="s">
        <v>67</v>
      </c>
      <c r="G44" s="22" t="s">
        <v>68</v>
      </c>
      <c r="H44" s="26" t="s">
        <v>172</v>
      </c>
      <c r="I44" s="17" t="s">
        <v>173</v>
      </c>
      <c r="J44" s="17" t="s">
        <v>174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6.5" customHeight="1">
      <c r="A45" s="28"/>
      <c r="B45" s="17" t="s">
        <v>9</v>
      </c>
      <c r="C45" s="17" t="s">
        <v>71</v>
      </c>
      <c r="D45" s="17" t="s">
        <v>175</v>
      </c>
      <c r="E45" s="17" t="s">
        <v>176</v>
      </c>
      <c r="F45" s="17" t="s">
        <v>67</v>
      </c>
      <c r="G45" s="22" t="s">
        <v>68</v>
      </c>
      <c r="H45" s="29" t="s">
        <v>177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16.5" customHeight="1">
      <c r="A46" s="8"/>
      <c r="B46" s="3" t="s">
        <v>47</v>
      </c>
      <c r="C46" s="3" t="s">
        <v>48</v>
      </c>
      <c r="D46" s="3" t="s">
        <v>178</v>
      </c>
      <c r="E46" s="3" t="s">
        <v>179</v>
      </c>
      <c r="F46" s="17" t="s">
        <v>89</v>
      </c>
      <c r="G46" s="22" t="s">
        <v>68</v>
      </c>
      <c r="H46" s="29" t="s">
        <v>180</v>
      </c>
      <c r="I46" s="17" t="s">
        <v>181</v>
      </c>
      <c r="J46" s="17">
        <v>1044564464</v>
      </c>
      <c r="K46" s="17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6.5" customHeight="1">
      <c r="A47" s="8"/>
      <c r="B47" s="3" t="s">
        <v>182</v>
      </c>
      <c r="C47" s="3" t="s">
        <v>48</v>
      </c>
      <c r="D47" s="17" t="s">
        <v>183</v>
      </c>
      <c r="E47" s="3" t="s">
        <v>184</v>
      </c>
      <c r="F47" s="17" t="s">
        <v>89</v>
      </c>
      <c r="G47" s="22" t="s">
        <v>68</v>
      </c>
      <c r="H47" s="25" t="s">
        <v>185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6.5" customHeight="1">
      <c r="A48" s="8"/>
      <c r="B48" s="3" t="s">
        <v>91</v>
      </c>
      <c r="C48" s="3" t="s">
        <v>71</v>
      </c>
      <c r="D48" s="3" t="s">
        <v>186</v>
      </c>
      <c r="E48" s="3" t="s">
        <v>187</v>
      </c>
      <c r="F48" s="17" t="s">
        <v>67</v>
      </c>
      <c r="G48" s="22" t="s">
        <v>68</v>
      </c>
      <c r="H48" s="26" t="s">
        <v>188</v>
      </c>
      <c r="I48" s="17" t="s">
        <v>189</v>
      </c>
      <c r="J48" s="17" t="s">
        <v>190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6.5" customHeight="1">
      <c r="A49" s="28"/>
      <c r="B49" s="17" t="s">
        <v>9</v>
      </c>
      <c r="C49" s="17" t="s">
        <v>71</v>
      </c>
      <c r="D49" s="3" t="s">
        <v>186</v>
      </c>
      <c r="E49" s="3" t="s">
        <v>191</v>
      </c>
      <c r="F49" s="17" t="s">
        <v>67</v>
      </c>
      <c r="G49" s="22" t="s">
        <v>68</v>
      </c>
      <c r="H49" s="29" t="s">
        <v>192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ht="16.5" customHeight="1">
      <c r="A50" s="8"/>
      <c r="B50" s="3" t="s">
        <v>47</v>
      </c>
      <c r="C50" s="3" t="s">
        <v>48</v>
      </c>
      <c r="D50" s="3" t="s">
        <v>178</v>
      </c>
      <c r="E50" s="3" t="s">
        <v>193</v>
      </c>
      <c r="F50" s="17" t="s">
        <v>89</v>
      </c>
      <c r="G50" s="22" t="s">
        <v>68</v>
      </c>
      <c r="H50" s="29" t="s">
        <v>194</v>
      </c>
      <c r="I50" s="17"/>
      <c r="J50" s="17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6.5" customHeight="1">
      <c r="A51" s="8"/>
      <c r="B51" s="3" t="s">
        <v>70</v>
      </c>
      <c r="C51" s="3" t="s">
        <v>71</v>
      </c>
      <c r="D51" s="3" t="s">
        <v>186</v>
      </c>
      <c r="E51" s="3" t="s">
        <v>195</v>
      </c>
      <c r="F51" s="3" t="s">
        <v>67</v>
      </c>
      <c r="G51" s="22" t="s">
        <v>68</v>
      </c>
      <c r="H51" s="30" t="s">
        <v>196</v>
      </c>
      <c r="I51" s="17"/>
      <c r="J51" s="17"/>
      <c r="K51" s="17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6.5" customHeight="1">
      <c r="A52" s="8"/>
      <c r="B52" s="3" t="s">
        <v>70</v>
      </c>
      <c r="C52" s="3" t="s">
        <v>71</v>
      </c>
      <c r="D52" s="3" t="s">
        <v>186</v>
      </c>
      <c r="E52" s="3" t="s">
        <v>197</v>
      </c>
      <c r="F52" s="3" t="s">
        <v>67</v>
      </c>
      <c r="G52" s="22" t="s">
        <v>68</v>
      </c>
      <c r="H52" s="31" t="s">
        <v>198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6.5" customHeight="1">
      <c r="A53" s="8"/>
      <c r="B53" s="3" t="s">
        <v>70</v>
      </c>
      <c r="C53" s="3" t="s">
        <v>71</v>
      </c>
      <c r="D53" s="3" t="s">
        <v>186</v>
      </c>
      <c r="E53" s="3" t="s">
        <v>199</v>
      </c>
      <c r="F53" s="3" t="s">
        <v>67</v>
      </c>
      <c r="G53" s="22" t="s">
        <v>68</v>
      </c>
      <c r="H53" s="31" t="s">
        <v>200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16.5" customHeight="1">
      <c r="A54" s="8"/>
      <c r="B54" s="3" t="s">
        <v>182</v>
      </c>
      <c r="C54" s="3" t="s">
        <v>48</v>
      </c>
      <c r="D54" s="17" t="s">
        <v>183</v>
      </c>
      <c r="E54" s="17" t="s">
        <v>201</v>
      </c>
      <c r="F54" s="17" t="s">
        <v>67</v>
      </c>
      <c r="G54" s="22" t="s">
        <v>68</v>
      </c>
      <c r="H54" s="30" t="s">
        <v>202</v>
      </c>
      <c r="I54" s="17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6.5" customHeight="1">
      <c r="A55" s="8"/>
      <c r="B55" s="3" t="s">
        <v>47</v>
      </c>
      <c r="C55" s="3" t="s">
        <v>48</v>
      </c>
      <c r="D55" s="3" t="s">
        <v>178</v>
      </c>
      <c r="E55" s="3" t="s">
        <v>203</v>
      </c>
      <c r="F55" s="17" t="s">
        <v>89</v>
      </c>
      <c r="G55" s="22" t="s">
        <v>68</v>
      </c>
      <c r="H55" s="29" t="s">
        <v>204</v>
      </c>
      <c r="I55" s="17"/>
      <c r="J55" s="17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6.5" customHeight="1">
      <c r="A56" s="8"/>
      <c r="B56" s="3" t="s">
        <v>182</v>
      </c>
      <c r="C56" s="3" t="s">
        <v>48</v>
      </c>
      <c r="D56" s="17" t="s">
        <v>183</v>
      </c>
      <c r="E56" s="17" t="s">
        <v>205</v>
      </c>
      <c r="F56" s="8" t="s">
        <v>67</v>
      </c>
      <c r="G56" s="22" t="s">
        <v>68</v>
      </c>
      <c r="H56" s="30" t="s">
        <v>206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6.5" customHeight="1">
      <c r="A57" s="8"/>
      <c r="B57" s="3" t="s">
        <v>182</v>
      </c>
      <c r="C57" s="3" t="s">
        <v>48</v>
      </c>
      <c r="D57" s="8" t="s">
        <v>183</v>
      </c>
      <c r="E57" s="8" t="s">
        <v>207</v>
      </c>
      <c r="F57" s="8" t="s">
        <v>67</v>
      </c>
      <c r="G57" s="22" t="s">
        <v>68</v>
      </c>
      <c r="H57" s="31" t="s">
        <v>208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16.5" customHeight="1">
      <c r="A58" s="8"/>
      <c r="B58" s="3" t="s">
        <v>209</v>
      </c>
      <c r="C58" s="3" t="s">
        <v>210</v>
      </c>
      <c r="D58" s="8" t="s">
        <v>211</v>
      </c>
      <c r="E58" s="8" t="s">
        <v>212</v>
      </c>
      <c r="F58" s="8" t="s">
        <v>67</v>
      </c>
      <c r="G58" s="22" t="s">
        <v>68</v>
      </c>
      <c r="H58" s="31" t="s">
        <v>213</v>
      </c>
      <c r="I58" s="8" t="s">
        <v>214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16.5" customHeight="1">
      <c r="A59" s="8"/>
      <c r="B59" s="3" t="s">
        <v>215</v>
      </c>
      <c r="C59" s="3" t="s">
        <v>48</v>
      </c>
      <c r="D59" s="8" t="s">
        <v>216</v>
      </c>
      <c r="E59" s="8" t="s">
        <v>217</v>
      </c>
      <c r="F59" s="8" t="s">
        <v>67</v>
      </c>
      <c r="G59" s="22" t="s">
        <v>68</v>
      </c>
      <c r="H59" s="32" t="s">
        <v>218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16.5" customHeight="1">
      <c r="A61" s="8"/>
      <c r="B61" s="3" t="s">
        <v>219</v>
      </c>
      <c r="C61" s="3" t="s">
        <v>48</v>
      </c>
      <c r="D61" s="17" t="s">
        <v>220</v>
      </c>
      <c r="E61" s="17" t="s">
        <v>221</v>
      </c>
      <c r="F61" s="8" t="s">
        <v>67</v>
      </c>
      <c r="G61" s="22" t="s">
        <v>68</v>
      </c>
      <c r="H61" s="33" t="s">
        <v>222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16.5" customHeight="1">
      <c r="A62" s="8"/>
      <c r="B62" s="17" t="s">
        <v>91</v>
      </c>
      <c r="C62" s="17" t="s">
        <v>71</v>
      </c>
      <c r="D62" s="17" t="s">
        <v>223</v>
      </c>
      <c r="E62" s="17" t="s">
        <v>224</v>
      </c>
      <c r="F62" s="17" t="s">
        <v>67</v>
      </c>
      <c r="G62" s="22" t="s">
        <v>68</v>
      </c>
      <c r="H62" s="34" t="s">
        <v>225</v>
      </c>
      <c r="I62" s="17" t="s">
        <v>226</v>
      </c>
      <c r="J62" s="17" t="s">
        <v>227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6.5" customHeight="1">
      <c r="A63" s="8"/>
      <c r="B63" s="3" t="s">
        <v>182</v>
      </c>
      <c r="C63" s="3" t="s">
        <v>48</v>
      </c>
      <c r="D63" s="8" t="s">
        <v>183</v>
      </c>
      <c r="E63" s="8" t="s">
        <v>228</v>
      </c>
      <c r="F63" s="17" t="s">
        <v>67</v>
      </c>
      <c r="G63" s="22" t="s">
        <v>68</v>
      </c>
      <c r="H63" s="30" t="s">
        <v>229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16.5" customHeight="1">
      <c r="A64" s="8"/>
      <c r="B64" s="3" t="s">
        <v>230</v>
      </c>
      <c r="C64" s="3" t="s">
        <v>209</v>
      </c>
      <c r="D64" s="8" t="s">
        <v>231</v>
      </c>
      <c r="E64" s="8" t="s">
        <v>232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6.5" customHeight="1">
      <c r="A65" s="8"/>
      <c r="B65" s="3" t="s">
        <v>230</v>
      </c>
      <c r="C65" s="3" t="s">
        <v>209</v>
      </c>
      <c r="D65" s="8" t="s">
        <v>231</v>
      </c>
      <c r="E65" s="8" t="s">
        <v>233</v>
      </c>
      <c r="F65" s="8"/>
      <c r="G65" s="8"/>
      <c r="H65" s="35" t="s">
        <v>234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6.5" customHeight="1">
      <c r="A66" s="8"/>
      <c r="B66" s="3" t="s">
        <v>230</v>
      </c>
      <c r="C66" s="3" t="s">
        <v>209</v>
      </c>
      <c r="D66" s="8" t="s">
        <v>231</v>
      </c>
      <c r="E66" s="8" t="s">
        <v>235</v>
      </c>
      <c r="F66" s="17" t="s">
        <v>67</v>
      </c>
      <c r="G66" s="22" t="s">
        <v>68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6.5" customHeight="1">
      <c r="A67" s="8"/>
      <c r="B67" s="3" t="s">
        <v>230</v>
      </c>
      <c r="C67" s="3" t="s">
        <v>209</v>
      </c>
      <c r="D67" s="8" t="s">
        <v>231</v>
      </c>
      <c r="E67" s="8" t="s">
        <v>236</v>
      </c>
      <c r="F67" s="17" t="s">
        <v>67</v>
      </c>
      <c r="G67" s="22" t="s">
        <v>68</v>
      </c>
      <c r="H67" s="35" t="s">
        <v>237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16.5" customHeight="1">
      <c r="A68" s="8"/>
      <c r="B68" s="3" t="s">
        <v>238</v>
      </c>
      <c r="C68" s="3" t="s">
        <v>48</v>
      </c>
      <c r="D68" s="3" t="s">
        <v>178</v>
      </c>
      <c r="E68" s="3" t="s">
        <v>239</v>
      </c>
      <c r="F68" s="17" t="s">
        <v>67</v>
      </c>
      <c r="G68" s="22" t="s">
        <v>68</v>
      </c>
      <c r="H68" s="29" t="s">
        <v>240</v>
      </c>
      <c r="I68" s="17" t="s">
        <v>241</v>
      </c>
      <c r="J68" s="17">
        <v>1056788448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6.5" customHeight="1">
      <c r="A69" s="8"/>
      <c r="B69" s="3" t="s">
        <v>242</v>
      </c>
      <c r="C69" s="3" t="s">
        <v>64</v>
      </c>
      <c r="D69" s="3" t="s">
        <v>85</v>
      </c>
      <c r="E69" s="3" t="s">
        <v>243</v>
      </c>
      <c r="F69" s="17" t="s">
        <v>67</v>
      </c>
      <c r="G69" s="22" t="s">
        <v>68</v>
      </c>
      <c r="H69" s="35" t="s">
        <v>244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6.5" customHeight="1">
      <c r="A70" s="8"/>
      <c r="B70" s="17" t="s">
        <v>91</v>
      </c>
      <c r="C70" s="17" t="s">
        <v>71</v>
      </c>
      <c r="D70" s="8" t="s">
        <v>245</v>
      </c>
      <c r="E70" s="8" t="s">
        <v>246</v>
      </c>
      <c r="F70" s="8" t="s">
        <v>247</v>
      </c>
      <c r="G70" s="8" t="s">
        <v>68</v>
      </c>
      <c r="H70" s="23" t="s">
        <v>248</v>
      </c>
      <c r="I70" s="17" t="s">
        <v>249</v>
      </c>
      <c r="J70" s="8" t="s">
        <v>250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6.5" customHeight="1">
      <c r="A71" s="19"/>
      <c r="B71" s="17" t="s">
        <v>251</v>
      </c>
      <c r="C71" s="17" t="s">
        <v>48</v>
      </c>
      <c r="D71" s="19" t="s">
        <v>216</v>
      </c>
      <c r="E71" s="19" t="s">
        <v>252</v>
      </c>
      <c r="F71" s="19" t="s">
        <v>67</v>
      </c>
      <c r="G71" s="22" t="s">
        <v>68</v>
      </c>
      <c r="H71" s="36" t="s">
        <v>253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ht="16.5" customHeight="1">
      <c r="A72" s="8"/>
      <c r="B72" s="3" t="s">
        <v>219</v>
      </c>
      <c r="C72" s="17" t="s">
        <v>48</v>
      </c>
      <c r="D72" s="8" t="s">
        <v>254</v>
      </c>
      <c r="E72" s="8" t="s">
        <v>255</v>
      </c>
      <c r="F72" s="8" t="s">
        <v>256</v>
      </c>
      <c r="G72" s="22" t="s">
        <v>68</v>
      </c>
      <c r="H72" s="23" t="s">
        <v>257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6.5" customHeight="1">
      <c r="A73" s="8"/>
      <c r="B73" s="3" t="s">
        <v>258</v>
      </c>
      <c r="C73" s="3" t="s">
        <v>210</v>
      </c>
      <c r="D73" s="8" t="s">
        <v>211</v>
      </c>
      <c r="E73" s="8" t="s">
        <v>259</v>
      </c>
      <c r="F73" s="8" t="s">
        <v>67</v>
      </c>
      <c r="G73" s="22" t="s">
        <v>68</v>
      </c>
      <c r="H73" s="35" t="s">
        <v>260</v>
      </c>
      <c r="I73" s="8" t="s">
        <v>214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16.5" customHeight="1">
      <c r="A74" s="8"/>
      <c r="B74" s="17" t="s">
        <v>91</v>
      </c>
      <c r="C74" s="17" t="s">
        <v>71</v>
      </c>
      <c r="D74" s="8" t="s">
        <v>261</v>
      </c>
      <c r="E74" s="8" t="s">
        <v>262</v>
      </c>
      <c r="F74" s="8" t="s">
        <v>247</v>
      </c>
      <c r="G74" s="8" t="s">
        <v>68</v>
      </c>
      <c r="H74" s="35" t="s">
        <v>263</v>
      </c>
      <c r="I74" s="17" t="s">
        <v>264</v>
      </c>
      <c r="J74" s="8" t="s">
        <v>265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16.5" customHeight="1">
      <c r="A75" s="8"/>
      <c r="B75" s="17" t="s">
        <v>251</v>
      </c>
      <c r="C75" s="17" t="s">
        <v>48</v>
      </c>
      <c r="D75" s="19" t="s">
        <v>216</v>
      </c>
      <c r="E75" s="19" t="s">
        <v>266</v>
      </c>
      <c r="F75" s="8" t="s">
        <v>247</v>
      </c>
      <c r="G75" s="8" t="s">
        <v>68</v>
      </c>
      <c r="H75" s="23" t="s">
        <v>267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16.5" customHeight="1">
      <c r="A76" s="8"/>
      <c r="B76" s="17" t="s">
        <v>91</v>
      </c>
      <c r="C76" s="17" t="s">
        <v>71</v>
      </c>
      <c r="D76" s="8" t="s">
        <v>261</v>
      </c>
      <c r="E76" s="8" t="s">
        <v>268</v>
      </c>
      <c r="F76" s="8" t="s">
        <v>247</v>
      </c>
      <c r="G76" s="8" t="s">
        <v>68</v>
      </c>
      <c r="H76" s="35" t="s">
        <v>269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16.5" customHeight="1">
      <c r="A77" s="8"/>
      <c r="B77" s="17" t="s">
        <v>251</v>
      </c>
      <c r="C77" s="17" t="s">
        <v>48</v>
      </c>
      <c r="D77" s="19" t="s">
        <v>216</v>
      </c>
      <c r="E77" s="8" t="s">
        <v>270</v>
      </c>
      <c r="F77" s="8" t="s">
        <v>271</v>
      </c>
      <c r="G77" s="8" t="s">
        <v>68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16.5" customHeight="1">
      <c r="A78" s="19"/>
      <c r="B78" s="17" t="s">
        <v>251</v>
      </c>
      <c r="C78" s="17" t="s">
        <v>48</v>
      </c>
      <c r="D78" s="19" t="s">
        <v>216</v>
      </c>
      <c r="E78" s="19" t="s">
        <v>272</v>
      </c>
      <c r="F78" s="19" t="s">
        <v>67</v>
      </c>
      <c r="G78" s="22" t="s">
        <v>68</v>
      </c>
      <c r="H78" s="36" t="s">
        <v>273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ht="16.5" customHeight="1">
      <c r="A79" s="8"/>
      <c r="B79" s="17" t="s">
        <v>91</v>
      </c>
      <c r="C79" s="17" t="s">
        <v>71</v>
      </c>
      <c r="D79" s="8" t="s">
        <v>274</v>
      </c>
      <c r="E79" s="8" t="s">
        <v>275</v>
      </c>
      <c r="F79" s="8" t="s">
        <v>67</v>
      </c>
      <c r="G79" s="8" t="s">
        <v>68</v>
      </c>
      <c r="H79" s="23" t="s">
        <v>276</v>
      </c>
      <c r="I79" s="17" t="s">
        <v>277</v>
      </c>
      <c r="J79" s="8" t="s">
        <v>278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16.5" customHeight="1">
      <c r="A80" s="8"/>
      <c r="B80" s="8" t="s">
        <v>279</v>
      </c>
      <c r="C80" s="8" t="s">
        <v>280</v>
      </c>
      <c r="D80" s="8" t="s">
        <v>281</v>
      </c>
      <c r="E80" s="8" t="s">
        <v>282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16.5" customHeight="1">
      <c r="A81" s="8"/>
      <c r="B81" s="17" t="s">
        <v>283</v>
      </c>
      <c r="C81" s="17" t="s">
        <v>71</v>
      </c>
      <c r="D81" s="8" t="s">
        <v>284</v>
      </c>
      <c r="E81" s="8" t="s">
        <v>285</v>
      </c>
      <c r="F81" s="8" t="s">
        <v>271</v>
      </c>
      <c r="G81" s="8" t="s">
        <v>286</v>
      </c>
      <c r="H81" s="23" t="s">
        <v>287</v>
      </c>
      <c r="I81" s="37" t="s">
        <v>288</v>
      </c>
      <c r="J81" s="38" t="s">
        <v>289</v>
      </c>
      <c r="K81" s="38"/>
      <c r="L81" s="38"/>
      <c r="M81" s="39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16.5" customHeight="1">
      <c r="A82" s="8"/>
      <c r="B82" s="17" t="s">
        <v>290</v>
      </c>
      <c r="C82" s="17" t="s">
        <v>71</v>
      </c>
      <c r="D82" s="8" t="s">
        <v>291</v>
      </c>
      <c r="E82" s="8" t="s">
        <v>292</v>
      </c>
      <c r="F82" s="8"/>
      <c r="G82" s="8"/>
      <c r="H82" s="8"/>
      <c r="I82" s="40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16.5" customHeight="1">
      <c r="A83" s="19"/>
      <c r="B83" s="17" t="s">
        <v>251</v>
      </c>
      <c r="C83" s="17" t="s">
        <v>48</v>
      </c>
      <c r="D83" s="19" t="s">
        <v>216</v>
      </c>
      <c r="E83" s="19" t="s">
        <v>293</v>
      </c>
      <c r="F83" s="19" t="s">
        <v>67</v>
      </c>
      <c r="G83" s="22" t="s">
        <v>68</v>
      </c>
      <c r="H83" s="36" t="s">
        <v>294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ht="16.5" customHeight="1">
      <c r="A84" s="8"/>
      <c r="B84" s="3" t="s">
        <v>219</v>
      </c>
      <c r="C84" s="17" t="s">
        <v>48</v>
      </c>
      <c r="D84" s="19" t="s">
        <v>295</v>
      </c>
      <c r="E84" s="19" t="s">
        <v>296</v>
      </c>
      <c r="F84" s="19" t="s">
        <v>67</v>
      </c>
      <c r="G84" s="22" t="s">
        <v>68</v>
      </c>
      <c r="H84" s="36" t="s">
        <v>297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6.5" customHeight="1">
      <c r="A85" s="8"/>
      <c r="B85" s="3" t="s">
        <v>298</v>
      </c>
      <c r="C85" s="17" t="s">
        <v>48</v>
      </c>
      <c r="D85" s="19" t="s">
        <v>299</v>
      </c>
      <c r="E85" s="19" t="s">
        <v>300</v>
      </c>
      <c r="F85" s="19" t="s">
        <v>67</v>
      </c>
      <c r="G85" s="22" t="s">
        <v>68</v>
      </c>
      <c r="H85" s="36" t="s">
        <v>301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16.5" customHeight="1">
      <c r="A86" s="8"/>
      <c r="B86" s="3" t="s">
        <v>91</v>
      </c>
      <c r="C86" s="3" t="s">
        <v>71</v>
      </c>
      <c r="D86" s="3" t="s">
        <v>302</v>
      </c>
      <c r="E86" s="3" t="s">
        <v>303</v>
      </c>
      <c r="F86" s="17" t="s">
        <v>67</v>
      </c>
      <c r="G86" s="22" t="s">
        <v>68</v>
      </c>
      <c r="H86" s="26" t="s">
        <v>304</v>
      </c>
      <c r="I86" s="17" t="s">
        <v>173</v>
      </c>
      <c r="J86" s="17" t="s">
        <v>174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6.5" customHeight="1">
      <c r="A87" s="8"/>
      <c r="B87" s="17" t="s">
        <v>283</v>
      </c>
      <c r="C87" s="3" t="s">
        <v>71</v>
      </c>
      <c r="D87" s="8" t="s">
        <v>305</v>
      </c>
      <c r="E87" s="8" t="s">
        <v>306</v>
      </c>
      <c r="F87" s="8" t="s">
        <v>271</v>
      </c>
      <c r="G87" s="22" t="s">
        <v>68</v>
      </c>
      <c r="H87" s="35" t="s">
        <v>307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6.5" customHeight="1">
      <c r="A88" s="8"/>
      <c r="B88" s="17" t="s">
        <v>251</v>
      </c>
      <c r="C88" s="17" t="s">
        <v>48</v>
      </c>
      <c r="D88" s="19" t="s">
        <v>216</v>
      </c>
      <c r="E88" s="19" t="s">
        <v>293</v>
      </c>
      <c r="F88" s="19" t="s">
        <v>67</v>
      </c>
      <c r="G88" s="22" t="s">
        <v>68</v>
      </c>
      <c r="H88" s="41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6.5" customHeight="1">
      <c r="A89" s="8"/>
      <c r="B89" s="3" t="s">
        <v>238</v>
      </c>
      <c r="C89" s="3" t="s">
        <v>48</v>
      </c>
      <c r="D89" s="3" t="s">
        <v>178</v>
      </c>
      <c r="E89" s="3" t="s">
        <v>239</v>
      </c>
      <c r="F89" s="17" t="s">
        <v>67</v>
      </c>
      <c r="G89" s="22" t="s">
        <v>68</v>
      </c>
      <c r="H89" s="29" t="s">
        <v>308</v>
      </c>
      <c r="I89" s="17" t="s">
        <v>309</v>
      </c>
      <c r="J89" s="42" t="s">
        <v>310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6.5" customHeight="1">
      <c r="A90" s="8"/>
      <c r="B90" s="3" t="s">
        <v>219</v>
      </c>
      <c r="C90" s="3" t="s">
        <v>64</v>
      </c>
      <c r="D90" s="3" t="s">
        <v>311</v>
      </c>
      <c r="E90" s="3" t="s">
        <v>312</v>
      </c>
      <c r="F90" s="17" t="s">
        <v>67</v>
      </c>
      <c r="G90" s="22" t="s">
        <v>68</v>
      </c>
      <c r="H90" s="35" t="s">
        <v>313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6.5" customHeight="1">
      <c r="A91" s="8"/>
      <c r="B91" s="17" t="s">
        <v>251</v>
      </c>
      <c r="C91" s="17" t="s">
        <v>48</v>
      </c>
      <c r="D91" s="19" t="s">
        <v>216</v>
      </c>
      <c r="E91" s="19" t="s">
        <v>314</v>
      </c>
      <c r="F91" s="17" t="s">
        <v>67</v>
      </c>
      <c r="G91" s="22" t="s">
        <v>68</v>
      </c>
      <c r="H91" s="23" t="s">
        <v>315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6.5" customHeight="1">
      <c r="A92" s="8"/>
      <c r="B92" s="17" t="s">
        <v>283</v>
      </c>
      <c r="C92" s="3" t="s">
        <v>71</v>
      </c>
      <c r="D92" s="8" t="s">
        <v>316</v>
      </c>
      <c r="E92" s="8" t="s">
        <v>317</v>
      </c>
      <c r="F92" s="8" t="s">
        <v>271</v>
      </c>
      <c r="G92" s="22" t="s">
        <v>68</v>
      </c>
      <c r="H92" s="35" t="s">
        <v>318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6.5" customHeight="1">
      <c r="A93" s="8"/>
      <c r="B93" s="17" t="s">
        <v>283</v>
      </c>
      <c r="C93" s="3" t="s">
        <v>71</v>
      </c>
      <c r="D93" s="8" t="s">
        <v>319</v>
      </c>
      <c r="E93" s="8" t="s">
        <v>320</v>
      </c>
      <c r="F93" s="8" t="s">
        <v>271</v>
      </c>
      <c r="G93" s="22" t="s">
        <v>68</v>
      </c>
      <c r="H93" s="43" t="s">
        <v>321</v>
      </c>
      <c r="I93" s="8" t="s">
        <v>322</v>
      </c>
      <c r="J93" s="8" t="s">
        <v>323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6.5" customHeight="1">
      <c r="A94" s="19"/>
      <c r="B94" s="17" t="s">
        <v>324</v>
      </c>
      <c r="C94" s="17" t="s">
        <v>71</v>
      </c>
      <c r="D94" s="19" t="s">
        <v>325</v>
      </c>
      <c r="E94" s="19" t="s">
        <v>326</v>
      </c>
      <c r="F94" s="19" t="s">
        <v>271</v>
      </c>
      <c r="G94" s="22" t="s">
        <v>68</v>
      </c>
      <c r="H94" s="44" t="s">
        <v>327</v>
      </c>
      <c r="I94" s="45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ht="16.5" customHeight="1">
      <c r="A95" s="8"/>
      <c r="B95" s="3" t="s">
        <v>328</v>
      </c>
      <c r="C95" s="3" t="s">
        <v>54</v>
      </c>
      <c r="D95" s="3" t="s">
        <v>59</v>
      </c>
      <c r="E95" s="3" t="s">
        <v>329</v>
      </c>
      <c r="F95" s="19" t="s">
        <v>271</v>
      </c>
      <c r="G95" s="22" t="s">
        <v>68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6.5" customHeight="1">
      <c r="A96" s="8"/>
      <c r="B96" s="8" t="s">
        <v>330</v>
      </c>
      <c r="C96" s="3" t="s">
        <v>71</v>
      </c>
      <c r="D96" s="8" t="s">
        <v>331</v>
      </c>
      <c r="E96" s="8" t="s">
        <v>332</v>
      </c>
      <c r="F96" s="19" t="s">
        <v>271</v>
      </c>
      <c r="G96" s="22" t="s">
        <v>68</v>
      </c>
      <c r="H96" s="23" t="s">
        <v>333</v>
      </c>
      <c r="I96" s="8" t="s">
        <v>334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6.5" customHeight="1">
      <c r="A97" s="8"/>
      <c r="B97" s="17" t="s">
        <v>283</v>
      </c>
      <c r="C97" s="3" t="s">
        <v>71</v>
      </c>
      <c r="D97" s="8" t="s">
        <v>335</v>
      </c>
      <c r="E97" s="8" t="s">
        <v>336</v>
      </c>
      <c r="F97" s="8" t="s">
        <v>271</v>
      </c>
      <c r="G97" s="22" t="s">
        <v>68</v>
      </c>
      <c r="H97" s="23" t="s">
        <v>337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6.5" customHeight="1">
      <c r="A98" s="8"/>
      <c r="B98" s="17" t="s">
        <v>330</v>
      </c>
      <c r="C98" s="3" t="s">
        <v>71</v>
      </c>
      <c r="D98" s="8" t="s">
        <v>335</v>
      </c>
      <c r="E98" s="8" t="s">
        <v>338</v>
      </c>
      <c r="F98" s="8" t="s">
        <v>271</v>
      </c>
      <c r="G98" s="22" t="s">
        <v>68</v>
      </c>
      <c r="H98" s="35" t="s">
        <v>339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6.5" customHeight="1">
      <c r="A99" s="8"/>
      <c r="B99" s="17" t="s">
        <v>330</v>
      </c>
      <c r="C99" s="3" t="s">
        <v>71</v>
      </c>
      <c r="D99" s="8" t="s">
        <v>335</v>
      </c>
      <c r="E99" s="8" t="s">
        <v>340</v>
      </c>
      <c r="F99" s="8" t="s">
        <v>271</v>
      </c>
      <c r="G99" s="22" t="s">
        <v>68</v>
      </c>
      <c r="H99" s="23" t="s">
        <v>341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6.5" customHeight="1">
      <c r="A100" s="8"/>
      <c r="B100" s="17" t="s">
        <v>330</v>
      </c>
      <c r="C100" s="3" t="s">
        <v>71</v>
      </c>
      <c r="D100" s="8" t="s">
        <v>335</v>
      </c>
      <c r="E100" s="8" t="s">
        <v>342</v>
      </c>
      <c r="F100" s="8" t="s">
        <v>271</v>
      </c>
      <c r="G100" s="22" t="s">
        <v>68</v>
      </c>
      <c r="H100" s="43" t="s">
        <v>343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6.5" customHeight="1">
      <c r="A101" s="8"/>
      <c r="B101" s="17" t="s">
        <v>283</v>
      </c>
      <c r="C101" s="3" t="s">
        <v>71</v>
      </c>
      <c r="D101" s="8" t="s">
        <v>335</v>
      </c>
      <c r="E101" s="8" t="s">
        <v>344</v>
      </c>
      <c r="F101" s="8" t="s">
        <v>271</v>
      </c>
      <c r="G101" s="22" t="s">
        <v>68</v>
      </c>
      <c r="H101" s="43" t="s">
        <v>345</v>
      </c>
      <c r="I101" s="8" t="s">
        <v>346</v>
      </c>
      <c r="J101" s="8" t="s">
        <v>347</v>
      </c>
      <c r="K101" s="8" t="s">
        <v>288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6.5" customHeight="1">
      <c r="A102" s="8"/>
      <c r="B102" s="17" t="s">
        <v>283</v>
      </c>
      <c r="C102" s="3" t="s">
        <v>71</v>
      </c>
      <c r="D102" s="8" t="s">
        <v>335</v>
      </c>
      <c r="E102" s="8" t="s">
        <v>348</v>
      </c>
      <c r="F102" s="8" t="s">
        <v>271</v>
      </c>
      <c r="G102" s="22" t="s">
        <v>68</v>
      </c>
      <c r="H102" s="23" t="s">
        <v>349</v>
      </c>
      <c r="I102" s="8" t="s">
        <v>350</v>
      </c>
      <c r="J102" s="8" t="s">
        <v>351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6.5" customHeight="1">
      <c r="A103" s="8"/>
      <c r="B103" s="17" t="s">
        <v>283</v>
      </c>
      <c r="C103" s="17" t="s">
        <v>71</v>
      </c>
      <c r="D103" s="19" t="s">
        <v>335</v>
      </c>
      <c r="E103" s="19" t="s">
        <v>352</v>
      </c>
      <c r="F103" s="19" t="s">
        <v>271</v>
      </c>
      <c r="G103" s="22" t="s">
        <v>68</v>
      </c>
      <c r="H103" s="46" t="s">
        <v>353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6.5" customHeight="1">
      <c r="A104" s="8"/>
      <c r="B104" s="17" t="s">
        <v>330</v>
      </c>
      <c r="C104" s="17" t="s">
        <v>71</v>
      </c>
      <c r="D104" s="19" t="s">
        <v>335</v>
      </c>
      <c r="E104" s="19" t="s">
        <v>354</v>
      </c>
      <c r="F104" s="19" t="s">
        <v>271</v>
      </c>
      <c r="G104" s="22" t="s">
        <v>68</v>
      </c>
      <c r="H104" s="35" t="s">
        <v>355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6.5" customHeight="1">
      <c r="A105" s="8"/>
      <c r="B105" s="17" t="s">
        <v>283</v>
      </c>
      <c r="C105" s="17" t="s">
        <v>71</v>
      </c>
      <c r="D105" s="19" t="s">
        <v>335</v>
      </c>
      <c r="E105" s="8" t="s">
        <v>356</v>
      </c>
      <c r="F105" s="19" t="s">
        <v>271</v>
      </c>
      <c r="G105" s="22" t="s">
        <v>68</v>
      </c>
      <c r="H105" s="23" t="s">
        <v>357</v>
      </c>
      <c r="I105" s="8" t="s">
        <v>358</v>
      </c>
      <c r="J105" s="8" t="s">
        <v>359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6.5" customHeight="1">
      <c r="A106" s="8"/>
      <c r="B106" s="17" t="s">
        <v>283</v>
      </c>
      <c r="C106" s="17" t="s">
        <v>71</v>
      </c>
      <c r="D106" s="19" t="s">
        <v>335</v>
      </c>
      <c r="E106" s="8" t="s">
        <v>360</v>
      </c>
      <c r="F106" s="19" t="s">
        <v>271</v>
      </c>
      <c r="G106" s="22" t="s">
        <v>68</v>
      </c>
      <c r="H106" s="23" t="s">
        <v>361</v>
      </c>
      <c r="I106" s="8" t="s">
        <v>362</v>
      </c>
      <c r="J106" s="8" t="s">
        <v>363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6.5" customHeight="1">
      <c r="A107" s="8"/>
      <c r="B107" s="17" t="s">
        <v>364</v>
      </c>
      <c r="C107" s="17" t="s">
        <v>71</v>
      </c>
      <c r="D107" s="19" t="s">
        <v>365</v>
      </c>
      <c r="E107" s="19" t="s">
        <v>366</v>
      </c>
      <c r="F107" s="19" t="s">
        <v>271</v>
      </c>
      <c r="G107" s="22" t="s">
        <v>68</v>
      </c>
      <c r="H107" s="23" t="s">
        <v>367</v>
      </c>
      <c r="I107" s="8" t="s">
        <v>368</v>
      </c>
      <c r="J107" s="8" t="s">
        <v>369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6.5" customHeight="1">
      <c r="A108" s="8"/>
      <c r="B108" s="17" t="s">
        <v>364</v>
      </c>
      <c r="C108" s="17" t="s">
        <v>71</v>
      </c>
      <c r="D108" s="19" t="s">
        <v>365</v>
      </c>
      <c r="E108" s="19" t="s">
        <v>370</v>
      </c>
      <c r="F108" s="19" t="s">
        <v>271</v>
      </c>
      <c r="G108" s="22" t="s">
        <v>68</v>
      </c>
      <c r="H108" s="23" t="s">
        <v>371</v>
      </c>
      <c r="I108" s="8" t="s">
        <v>372</v>
      </c>
      <c r="J108" s="8" t="s">
        <v>373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6.5" customHeight="1">
      <c r="A109" s="8"/>
      <c r="B109" s="17" t="s">
        <v>364</v>
      </c>
      <c r="C109" s="17" t="s">
        <v>71</v>
      </c>
      <c r="D109" s="19" t="s">
        <v>365</v>
      </c>
      <c r="E109" s="19" t="s">
        <v>374</v>
      </c>
      <c r="F109" s="19" t="s">
        <v>271</v>
      </c>
      <c r="G109" s="22" t="s">
        <v>68</v>
      </c>
      <c r="H109" s="23" t="s">
        <v>375</v>
      </c>
      <c r="I109" s="8" t="s">
        <v>376</v>
      </c>
      <c r="J109" s="8" t="s">
        <v>377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6.5" customHeight="1">
      <c r="A110" s="8"/>
      <c r="B110" s="17" t="s">
        <v>364</v>
      </c>
      <c r="C110" s="17" t="s">
        <v>71</v>
      </c>
      <c r="D110" s="19" t="s">
        <v>378</v>
      </c>
      <c r="E110" s="19" t="s">
        <v>379</v>
      </c>
      <c r="F110" s="19" t="s">
        <v>271</v>
      </c>
      <c r="G110" s="22" t="s">
        <v>68</v>
      </c>
      <c r="H110" s="23" t="s">
        <v>380</v>
      </c>
      <c r="I110" s="8" t="s">
        <v>381</v>
      </c>
      <c r="J110" s="8" t="s">
        <v>382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6.5" customHeight="1">
      <c r="A111" s="8"/>
      <c r="B111" s="17" t="s">
        <v>364</v>
      </c>
      <c r="C111" s="17" t="s">
        <v>71</v>
      </c>
      <c r="D111" s="19" t="s">
        <v>378</v>
      </c>
      <c r="E111" s="19" t="s">
        <v>383</v>
      </c>
      <c r="F111" s="19" t="s">
        <v>271</v>
      </c>
      <c r="G111" s="22" t="s">
        <v>68</v>
      </c>
      <c r="H111" s="35" t="s">
        <v>384</v>
      </c>
      <c r="I111" s="8" t="s">
        <v>385</v>
      </c>
      <c r="J111" s="8" t="s">
        <v>386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6.5" customHeight="1">
      <c r="A112" s="8"/>
      <c r="B112" s="17" t="s">
        <v>364</v>
      </c>
      <c r="C112" s="17" t="s">
        <v>71</v>
      </c>
      <c r="D112" s="19" t="s">
        <v>378</v>
      </c>
      <c r="E112" s="19" t="s">
        <v>387</v>
      </c>
      <c r="F112" s="19" t="s">
        <v>271</v>
      </c>
      <c r="G112" s="22" t="s">
        <v>68</v>
      </c>
      <c r="H112" s="23" t="s">
        <v>388</v>
      </c>
      <c r="I112" s="8" t="s">
        <v>389</v>
      </c>
      <c r="J112" s="8" t="s">
        <v>390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6.5" customHeight="1">
      <c r="A113" s="8"/>
      <c r="B113" s="3" t="s">
        <v>328</v>
      </c>
      <c r="C113" s="3" t="s">
        <v>54</v>
      </c>
      <c r="D113" s="3" t="s">
        <v>391</v>
      </c>
      <c r="E113" s="3" t="s">
        <v>392</v>
      </c>
      <c r="F113" s="19" t="s">
        <v>271</v>
      </c>
      <c r="G113" s="22" t="s">
        <v>68</v>
      </c>
      <c r="H113" s="23" t="s">
        <v>393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6.5" customHeight="1">
      <c r="A114" s="8"/>
      <c r="B114" s="17" t="s">
        <v>364</v>
      </c>
      <c r="C114" s="17" t="s">
        <v>71</v>
      </c>
      <c r="D114" s="19" t="s">
        <v>365</v>
      </c>
      <c r="E114" s="19" t="s">
        <v>394</v>
      </c>
      <c r="F114" s="19" t="s">
        <v>271</v>
      </c>
      <c r="G114" s="22" t="s">
        <v>68</v>
      </c>
      <c r="H114" s="23" t="s">
        <v>395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6.5" customHeight="1">
      <c r="A115" s="8"/>
      <c r="B115" s="17" t="s">
        <v>364</v>
      </c>
      <c r="C115" s="17" t="s">
        <v>71</v>
      </c>
      <c r="D115" s="19" t="s">
        <v>365</v>
      </c>
      <c r="E115" s="19" t="s">
        <v>396</v>
      </c>
      <c r="F115" s="19" t="s">
        <v>271</v>
      </c>
      <c r="G115" s="22" t="s">
        <v>68</v>
      </c>
      <c r="H115" s="23" t="s">
        <v>397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6.5" customHeight="1">
      <c r="A116" s="8"/>
      <c r="B116" s="17" t="s">
        <v>364</v>
      </c>
      <c r="C116" s="17" t="s">
        <v>71</v>
      </c>
      <c r="D116" s="19" t="s">
        <v>365</v>
      </c>
      <c r="E116" s="19" t="s">
        <v>398</v>
      </c>
      <c r="F116" s="19" t="s">
        <v>271</v>
      </c>
      <c r="G116" s="22" t="s">
        <v>68</v>
      </c>
      <c r="H116" s="23" t="s">
        <v>399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16.5" customHeight="1">
      <c r="A117" s="8"/>
      <c r="B117" s="17" t="s">
        <v>364</v>
      </c>
      <c r="C117" s="17" t="s">
        <v>71</v>
      </c>
      <c r="D117" s="19" t="s">
        <v>378</v>
      </c>
      <c r="E117" s="19" t="s">
        <v>400</v>
      </c>
      <c r="F117" s="19" t="s">
        <v>271</v>
      </c>
      <c r="G117" s="22" t="s">
        <v>68</v>
      </c>
      <c r="H117" s="23" t="s">
        <v>401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6.5" customHeight="1">
      <c r="A118" s="8"/>
      <c r="B118" s="17" t="s">
        <v>364</v>
      </c>
      <c r="C118" s="17" t="s">
        <v>71</v>
      </c>
      <c r="D118" s="19" t="s">
        <v>378</v>
      </c>
      <c r="E118" s="19" t="s">
        <v>402</v>
      </c>
      <c r="F118" s="19" t="s">
        <v>271</v>
      </c>
      <c r="G118" s="22" t="s">
        <v>68</v>
      </c>
      <c r="H118" s="23" t="s">
        <v>403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16.5" customHeight="1">
      <c r="A119" s="8"/>
      <c r="B119" s="17" t="s">
        <v>364</v>
      </c>
      <c r="C119" s="17" t="s">
        <v>71</v>
      </c>
      <c r="D119" s="19" t="s">
        <v>378</v>
      </c>
      <c r="E119" s="19" t="s">
        <v>404</v>
      </c>
      <c r="F119" s="19" t="s">
        <v>271</v>
      </c>
      <c r="G119" s="22" t="s">
        <v>68</v>
      </c>
      <c r="H119" s="23" t="s">
        <v>405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6.5" customHeight="1">
      <c r="A120" s="8"/>
      <c r="B120" s="8" t="s">
        <v>283</v>
      </c>
      <c r="C120" s="17" t="s">
        <v>71</v>
      </c>
      <c r="D120" s="8" t="s">
        <v>406</v>
      </c>
      <c r="E120" s="8" t="s">
        <v>407</v>
      </c>
      <c r="F120" s="19" t="s">
        <v>271</v>
      </c>
      <c r="G120" s="22" t="s">
        <v>68</v>
      </c>
      <c r="H120" s="23" t="s">
        <v>408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16.5" customHeight="1">
      <c r="A121" s="8"/>
      <c r="B121" s="3" t="s">
        <v>219</v>
      </c>
      <c r="C121" s="8" t="s">
        <v>48</v>
      </c>
      <c r="D121" s="8" t="s">
        <v>409</v>
      </c>
      <c r="E121" s="8" t="s">
        <v>410</v>
      </c>
      <c r="F121" s="19" t="s">
        <v>271</v>
      </c>
      <c r="G121" s="22" t="s">
        <v>68</v>
      </c>
      <c r="H121" s="23" t="s">
        <v>411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6.5" customHeight="1">
      <c r="A122" s="8"/>
      <c r="B122" s="3" t="s">
        <v>219</v>
      </c>
      <c r="C122" s="8" t="s">
        <v>48</v>
      </c>
      <c r="D122" s="8" t="s">
        <v>409</v>
      </c>
      <c r="E122" s="8" t="s">
        <v>412</v>
      </c>
      <c r="F122" s="19" t="s">
        <v>271</v>
      </c>
      <c r="G122" s="22" t="s">
        <v>68</v>
      </c>
      <c r="H122" s="23" t="s">
        <v>413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16.5" customHeight="1">
      <c r="A123" s="8"/>
      <c r="B123" s="3" t="s">
        <v>219</v>
      </c>
      <c r="C123" s="8" t="s">
        <v>48</v>
      </c>
      <c r="D123" s="8" t="s">
        <v>409</v>
      </c>
      <c r="E123" s="8" t="s">
        <v>414</v>
      </c>
      <c r="F123" s="19" t="s">
        <v>271</v>
      </c>
      <c r="G123" s="22" t="s">
        <v>68</v>
      </c>
      <c r="H123" s="23" t="s">
        <v>415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6.5" customHeight="1">
      <c r="A124" s="8"/>
      <c r="B124" s="3" t="s">
        <v>219</v>
      </c>
      <c r="C124" s="8" t="s">
        <v>48</v>
      </c>
      <c r="D124" s="8" t="s">
        <v>409</v>
      </c>
      <c r="E124" s="8" t="s">
        <v>416</v>
      </c>
      <c r="F124" s="19" t="s">
        <v>271</v>
      </c>
      <c r="G124" s="22" t="s">
        <v>68</v>
      </c>
      <c r="H124" s="23" t="s">
        <v>417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16.5" customHeight="1">
      <c r="A125" s="8"/>
      <c r="B125" s="17" t="s">
        <v>283</v>
      </c>
      <c r="C125" s="17" t="s">
        <v>71</v>
      </c>
      <c r="D125" s="19" t="s">
        <v>418</v>
      </c>
      <c r="E125" s="8" t="s">
        <v>419</v>
      </c>
      <c r="F125" s="19" t="s">
        <v>271</v>
      </c>
      <c r="G125" s="22" t="s">
        <v>68</v>
      </c>
      <c r="H125" s="23" t="s">
        <v>420</v>
      </c>
      <c r="I125" s="8" t="s">
        <v>421</v>
      </c>
      <c r="J125" s="8" t="s">
        <v>422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16.5" customHeight="1">
      <c r="A126" s="8"/>
      <c r="B126" s="17" t="s">
        <v>283</v>
      </c>
      <c r="C126" s="17" t="s">
        <v>71</v>
      </c>
      <c r="D126" s="19" t="s">
        <v>418</v>
      </c>
      <c r="E126" s="8" t="s">
        <v>423</v>
      </c>
      <c r="F126" s="19" t="s">
        <v>271</v>
      </c>
      <c r="G126" s="22" t="s">
        <v>68</v>
      </c>
      <c r="H126" s="23" t="s">
        <v>424</v>
      </c>
      <c r="I126" s="8" t="s">
        <v>425</v>
      </c>
      <c r="J126" s="8" t="s">
        <v>426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16.5" customHeight="1">
      <c r="A127" s="8"/>
      <c r="B127" s="17" t="s">
        <v>283</v>
      </c>
      <c r="C127" s="17" t="s">
        <v>71</v>
      </c>
      <c r="D127" s="19" t="s">
        <v>418</v>
      </c>
      <c r="E127" s="8" t="s">
        <v>427</v>
      </c>
      <c r="F127" s="19" t="s">
        <v>271</v>
      </c>
      <c r="G127" s="22" t="s">
        <v>68</v>
      </c>
      <c r="H127" s="23" t="s">
        <v>428</v>
      </c>
      <c r="I127" s="8" t="s">
        <v>429</v>
      </c>
      <c r="J127" s="8" t="s">
        <v>430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16.5" customHeight="1">
      <c r="A128" s="8"/>
      <c r="B128" s="17" t="s">
        <v>283</v>
      </c>
      <c r="C128" s="17" t="s">
        <v>71</v>
      </c>
      <c r="D128" s="19" t="s">
        <v>418</v>
      </c>
      <c r="E128" s="8" t="s">
        <v>431</v>
      </c>
      <c r="F128" s="19" t="s">
        <v>271</v>
      </c>
      <c r="G128" s="22" t="s">
        <v>68</v>
      </c>
      <c r="H128" s="23" t="s">
        <v>432</v>
      </c>
      <c r="I128" s="8" t="s">
        <v>433</v>
      </c>
      <c r="J128" s="8" t="s">
        <v>434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16.5" customHeight="1">
      <c r="A129" s="8"/>
      <c r="B129" s="17" t="s">
        <v>283</v>
      </c>
      <c r="C129" s="17" t="s">
        <v>71</v>
      </c>
      <c r="D129" s="19" t="s">
        <v>418</v>
      </c>
      <c r="E129" s="8" t="s">
        <v>435</v>
      </c>
      <c r="F129" s="19" t="s">
        <v>271</v>
      </c>
      <c r="G129" s="22" t="s">
        <v>68</v>
      </c>
      <c r="H129" s="23" t="s">
        <v>436</v>
      </c>
      <c r="I129" s="8" t="s">
        <v>437</v>
      </c>
      <c r="J129" s="8" t="s">
        <v>438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16.5" customHeight="1">
      <c r="A130" s="8"/>
      <c r="B130" s="17" t="s">
        <v>283</v>
      </c>
      <c r="C130" s="17" t="s">
        <v>71</v>
      </c>
      <c r="D130" s="19" t="s">
        <v>418</v>
      </c>
      <c r="E130" s="8" t="s">
        <v>439</v>
      </c>
      <c r="F130" s="19" t="s">
        <v>271</v>
      </c>
      <c r="G130" s="22" t="s">
        <v>68</v>
      </c>
      <c r="H130" s="35" t="s">
        <v>440</v>
      </c>
      <c r="I130" s="8" t="s">
        <v>441</v>
      </c>
      <c r="J130" s="8" t="s">
        <v>442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16.5" customHeight="1">
      <c r="A131" s="8"/>
      <c r="B131" s="3" t="s">
        <v>219</v>
      </c>
      <c r="C131" s="8" t="s">
        <v>48</v>
      </c>
      <c r="D131" s="8" t="s">
        <v>409</v>
      </c>
      <c r="E131" s="8" t="s">
        <v>443</v>
      </c>
      <c r="F131" s="19" t="s">
        <v>271</v>
      </c>
      <c r="G131" s="22" t="s">
        <v>68</v>
      </c>
      <c r="H131" s="23" t="s">
        <v>444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16.5" customHeight="1">
      <c r="A132" s="8"/>
      <c r="B132" s="17" t="s">
        <v>283</v>
      </c>
      <c r="C132" s="17" t="s">
        <v>71</v>
      </c>
      <c r="D132" s="19" t="s">
        <v>418</v>
      </c>
      <c r="E132" s="8" t="s">
        <v>445</v>
      </c>
      <c r="F132" s="19" t="s">
        <v>271</v>
      </c>
      <c r="G132" s="22" t="s">
        <v>68</v>
      </c>
      <c r="H132" s="23" t="s">
        <v>446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16.5" customHeight="1">
      <c r="A133" s="8"/>
      <c r="B133" s="8" t="s">
        <v>447</v>
      </c>
      <c r="C133" s="17" t="s">
        <v>71</v>
      </c>
      <c r="D133" s="8" t="s">
        <v>448</v>
      </c>
      <c r="E133" s="8" t="s">
        <v>449</v>
      </c>
      <c r="F133" s="19" t="s">
        <v>271</v>
      </c>
      <c r="G133" s="22" t="s">
        <v>68</v>
      </c>
      <c r="H133" s="23" t="s">
        <v>450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16.5" customHeight="1">
      <c r="A134" s="8"/>
      <c r="B134" s="8" t="s">
        <v>447</v>
      </c>
      <c r="C134" s="17" t="s">
        <v>71</v>
      </c>
      <c r="D134" s="8" t="s">
        <v>448</v>
      </c>
      <c r="E134" s="8" t="s">
        <v>451</v>
      </c>
      <c r="F134" s="19" t="s">
        <v>271</v>
      </c>
      <c r="G134" s="22" t="s">
        <v>68</v>
      </c>
      <c r="H134" s="23" t="s">
        <v>452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16.5" customHeight="1">
      <c r="A135" s="8"/>
      <c r="B135" s="8" t="s">
        <v>453</v>
      </c>
      <c r="C135" s="17" t="s">
        <v>71</v>
      </c>
      <c r="D135" s="8" t="s">
        <v>454</v>
      </c>
      <c r="E135" s="8" t="s">
        <v>455</v>
      </c>
      <c r="F135" s="19" t="s">
        <v>271</v>
      </c>
      <c r="G135" s="22" t="s">
        <v>68</v>
      </c>
      <c r="H135" s="23" t="s">
        <v>456</v>
      </c>
      <c r="I135" s="47" t="s">
        <v>457</v>
      </c>
      <c r="J135" s="48" t="s">
        <v>458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16.5" customHeight="1">
      <c r="A136" s="8"/>
      <c r="B136" s="8" t="s">
        <v>453</v>
      </c>
      <c r="C136" s="17" t="s">
        <v>71</v>
      </c>
      <c r="D136" s="8" t="s">
        <v>454</v>
      </c>
      <c r="E136" s="8" t="s">
        <v>459</v>
      </c>
      <c r="F136" s="19" t="s">
        <v>271</v>
      </c>
      <c r="G136" s="22" t="s">
        <v>68</v>
      </c>
      <c r="H136" s="23" t="s">
        <v>460</v>
      </c>
      <c r="I136" s="47" t="s">
        <v>461</v>
      </c>
      <c r="J136" s="48" t="s">
        <v>462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16.5" customHeight="1">
      <c r="A137" s="8"/>
      <c r="B137" s="8" t="s">
        <v>453</v>
      </c>
      <c r="C137" s="17" t="s">
        <v>71</v>
      </c>
      <c r="D137" s="8" t="s">
        <v>454</v>
      </c>
      <c r="E137" s="8" t="s">
        <v>463</v>
      </c>
      <c r="F137" s="19" t="s">
        <v>271</v>
      </c>
      <c r="G137" s="22" t="s">
        <v>68</v>
      </c>
      <c r="H137" s="23" t="s">
        <v>464</v>
      </c>
      <c r="I137" s="8" t="s">
        <v>465</v>
      </c>
      <c r="J137" s="8" t="s">
        <v>466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16.5" customHeight="1">
      <c r="A138" s="8"/>
      <c r="B138" s="8" t="s">
        <v>447</v>
      </c>
      <c r="C138" s="17" t="s">
        <v>71</v>
      </c>
      <c r="D138" s="8" t="s">
        <v>467</v>
      </c>
      <c r="E138" s="8" t="s">
        <v>468</v>
      </c>
      <c r="F138" s="19" t="s">
        <v>271</v>
      </c>
      <c r="G138" s="22" t="s">
        <v>68</v>
      </c>
      <c r="H138" s="23" t="s">
        <v>469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16.5" customHeight="1">
      <c r="A139" s="8"/>
      <c r="B139" s="8" t="s">
        <v>447</v>
      </c>
      <c r="C139" s="17" t="s">
        <v>71</v>
      </c>
      <c r="D139" s="8" t="s">
        <v>470</v>
      </c>
      <c r="E139" s="8" t="s">
        <v>471</v>
      </c>
      <c r="F139" s="19" t="s">
        <v>271</v>
      </c>
      <c r="G139" s="22" t="s">
        <v>68</v>
      </c>
      <c r="H139" s="23" t="s">
        <v>472</v>
      </c>
      <c r="I139" s="8"/>
      <c r="J139" s="8"/>
      <c r="K139" s="8" t="s">
        <v>473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16.5" customHeight="1">
      <c r="A140" s="8"/>
      <c r="B140" s="8" t="s">
        <v>447</v>
      </c>
      <c r="C140" s="17" t="s">
        <v>71</v>
      </c>
      <c r="D140" s="8" t="s">
        <v>467</v>
      </c>
      <c r="E140" s="8" t="s">
        <v>474</v>
      </c>
      <c r="F140" s="19" t="s">
        <v>271</v>
      </c>
      <c r="G140" s="22" t="s">
        <v>68</v>
      </c>
      <c r="H140" s="23" t="s">
        <v>475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16.5" customHeight="1">
      <c r="A141" s="8"/>
      <c r="B141" s="8" t="s">
        <v>447</v>
      </c>
      <c r="C141" s="17" t="s">
        <v>71</v>
      </c>
      <c r="D141" s="8" t="s">
        <v>467</v>
      </c>
      <c r="E141" s="8" t="s">
        <v>476</v>
      </c>
      <c r="F141" s="19" t="s">
        <v>271</v>
      </c>
      <c r="G141" s="22" t="s">
        <v>68</v>
      </c>
      <c r="H141" s="23" t="s">
        <v>477</v>
      </c>
      <c r="I141" s="8"/>
      <c r="J141" s="8"/>
      <c r="K141" s="8" t="s">
        <v>478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16.5" customHeight="1">
      <c r="A142" s="8"/>
      <c r="B142" s="8" t="s">
        <v>447</v>
      </c>
      <c r="C142" s="17" t="s">
        <v>71</v>
      </c>
      <c r="D142" s="8" t="s">
        <v>467</v>
      </c>
      <c r="E142" s="8" t="s">
        <v>479</v>
      </c>
      <c r="F142" s="19" t="s">
        <v>271</v>
      </c>
      <c r="G142" s="22" t="s">
        <v>68</v>
      </c>
      <c r="H142" s="23" t="s">
        <v>480</v>
      </c>
      <c r="I142" s="8"/>
      <c r="J142" s="8"/>
      <c r="K142" s="8" t="s">
        <v>478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16.5" customHeight="1">
      <c r="A143" s="8"/>
      <c r="B143" s="17" t="s">
        <v>283</v>
      </c>
      <c r="C143" s="17" t="s">
        <v>71</v>
      </c>
      <c r="D143" s="8" t="s">
        <v>481</v>
      </c>
      <c r="E143" s="8" t="s">
        <v>482</v>
      </c>
      <c r="F143" s="19" t="s">
        <v>271</v>
      </c>
      <c r="G143" s="22" t="s">
        <v>68</v>
      </c>
      <c r="H143" s="23" t="s">
        <v>483</v>
      </c>
      <c r="I143" s="47" t="s">
        <v>484</v>
      </c>
      <c r="J143" s="48" t="s">
        <v>485</v>
      </c>
      <c r="K143" s="8" t="s">
        <v>486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16.5" customHeight="1">
      <c r="A144" s="8"/>
      <c r="B144" s="17" t="s">
        <v>283</v>
      </c>
      <c r="C144" s="17" t="s">
        <v>71</v>
      </c>
      <c r="D144" s="8" t="s">
        <v>481</v>
      </c>
      <c r="E144" s="8" t="s">
        <v>487</v>
      </c>
      <c r="F144" s="19" t="s">
        <v>271</v>
      </c>
      <c r="G144" s="22" t="s">
        <v>68</v>
      </c>
      <c r="H144" s="23" t="s">
        <v>488</v>
      </c>
      <c r="I144" s="47" t="s">
        <v>489</v>
      </c>
      <c r="J144" s="48" t="s">
        <v>490</v>
      </c>
      <c r="K144" s="8" t="s">
        <v>491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16.5" customHeight="1">
      <c r="A145" s="8"/>
      <c r="B145" s="17" t="s">
        <v>283</v>
      </c>
      <c r="C145" s="17" t="s">
        <v>71</v>
      </c>
      <c r="D145" s="8" t="s">
        <v>481</v>
      </c>
      <c r="E145" s="8" t="s">
        <v>492</v>
      </c>
      <c r="F145" s="19" t="s">
        <v>271</v>
      </c>
      <c r="G145" s="22" t="s">
        <v>68</v>
      </c>
      <c r="H145" s="23" t="s">
        <v>493</v>
      </c>
      <c r="I145" s="47" t="s">
        <v>494</v>
      </c>
      <c r="J145" s="48" t="s">
        <v>495</v>
      </c>
      <c r="K145" s="8" t="s">
        <v>486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16.5" customHeight="1">
      <c r="A146" s="8"/>
      <c r="B146" s="17" t="s">
        <v>283</v>
      </c>
      <c r="C146" s="17" t="s">
        <v>71</v>
      </c>
      <c r="D146" s="8" t="s">
        <v>481</v>
      </c>
      <c r="E146" s="8" t="s">
        <v>496</v>
      </c>
      <c r="F146" s="19" t="s">
        <v>271</v>
      </c>
      <c r="G146" s="22" t="s">
        <v>68</v>
      </c>
      <c r="H146" s="23" t="s">
        <v>497</v>
      </c>
      <c r="I146" s="47" t="s">
        <v>498</v>
      </c>
      <c r="J146" s="48" t="s">
        <v>499</v>
      </c>
      <c r="K146" s="8" t="s">
        <v>491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16.5" customHeight="1">
      <c r="A147" s="8"/>
      <c r="B147" s="8" t="s">
        <v>330</v>
      </c>
      <c r="C147" s="17" t="s">
        <v>71</v>
      </c>
      <c r="D147" s="8" t="s">
        <v>481</v>
      </c>
      <c r="E147" s="8" t="s">
        <v>500</v>
      </c>
      <c r="F147" s="19" t="s">
        <v>271</v>
      </c>
      <c r="G147" s="22" t="s">
        <v>68</v>
      </c>
      <c r="H147" s="23" t="s">
        <v>501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16.5" customHeight="1">
      <c r="A148" s="8"/>
      <c r="B148" s="8" t="s">
        <v>330</v>
      </c>
      <c r="C148" s="17" t="s">
        <v>71</v>
      </c>
      <c r="D148" s="8" t="s">
        <v>481</v>
      </c>
      <c r="E148" s="8" t="s">
        <v>502</v>
      </c>
      <c r="F148" s="19" t="s">
        <v>271</v>
      </c>
      <c r="G148" s="22" t="s">
        <v>68</v>
      </c>
      <c r="H148" s="23" t="s">
        <v>503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16.5" customHeight="1">
      <c r="A149" s="8"/>
      <c r="B149" s="3" t="s">
        <v>219</v>
      </c>
      <c r="C149" s="8" t="s">
        <v>48</v>
      </c>
      <c r="D149" s="8" t="s">
        <v>409</v>
      </c>
      <c r="E149" s="8" t="s">
        <v>504</v>
      </c>
      <c r="F149" s="19" t="s">
        <v>271</v>
      </c>
      <c r="G149" s="22" t="s">
        <v>68</v>
      </c>
      <c r="H149" s="23" t="s">
        <v>505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16.5" customHeight="1">
      <c r="A150" s="8"/>
      <c r="B150" s="3" t="s">
        <v>47</v>
      </c>
      <c r="C150" s="3" t="s">
        <v>48</v>
      </c>
      <c r="D150" s="3" t="s">
        <v>506</v>
      </c>
      <c r="E150" s="3" t="s">
        <v>507</v>
      </c>
      <c r="F150" s="19" t="s">
        <v>271</v>
      </c>
      <c r="G150" s="22" t="s">
        <v>68</v>
      </c>
      <c r="H150" s="29" t="s">
        <v>508</v>
      </c>
      <c r="I150" s="17"/>
      <c r="J150" s="17"/>
      <c r="K150" s="17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 spans="1:28" ht="16.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 spans="1:28" ht="16.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 spans="1:28" ht="16.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 spans="1:28" ht="16.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 spans="1:28" ht="16.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 spans="1:28" ht="16.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</sheetData>
  <phoneticPr fontId="73" type="noConversion"/>
  <hyperlinks>
    <hyperlink ref="H17" r:id="rId1" xr:uid="{00000000-0004-0000-0400-000000000000}"/>
    <hyperlink ref="H24" r:id="rId2" xr:uid="{00000000-0004-0000-0400-000001000000}"/>
    <hyperlink ref="H25" r:id="rId3" xr:uid="{00000000-0004-0000-0400-000002000000}"/>
    <hyperlink ref="H26" r:id="rId4" xr:uid="{00000000-0004-0000-0400-000003000000}"/>
    <hyperlink ref="H27" r:id="rId5" xr:uid="{00000000-0004-0000-0400-000004000000}"/>
    <hyperlink ref="H28" r:id="rId6" xr:uid="{00000000-0004-0000-0400-000005000000}"/>
    <hyperlink ref="H29" r:id="rId7" xr:uid="{00000000-0004-0000-0400-000006000000}"/>
    <hyperlink ref="H30" r:id="rId8" xr:uid="{00000000-0004-0000-0400-000007000000}"/>
    <hyperlink ref="H31" r:id="rId9" xr:uid="{00000000-0004-0000-0400-000008000000}"/>
    <hyperlink ref="H32" r:id="rId10" xr:uid="{00000000-0004-0000-0400-000009000000}"/>
    <hyperlink ref="H33" r:id="rId11" xr:uid="{00000000-0004-0000-0400-00000A000000}"/>
    <hyperlink ref="H34" r:id="rId12" xr:uid="{00000000-0004-0000-0400-00000B000000}"/>
    <hyperlink ref="H35" r:id="rId13" xr:uid="{00000000-0004-0000-0400-00000C000000}"/>
    <hyperlink ref="H36" r:id="rId14" xr:uid="{00000000-0004-0000-0400-00000D000000}"/>
    <hyperlink ref="H37" r:id="rId15" xr:uid="{00000000-0004-0000-0400-00000E000000}"/>
    <hyperlink ref="H38" r:id="rId16" xr:uid="{00000000-0004-0000-0400-00000F000000}"/>
    <hyperlink ref="H39" r:id="rId17" xr:uid="{00000000-0004-0000-0400-000010000000}"/>
    <hyperlink ref="H40" r:id="rId18" xr:uid="{00000000-0004-0000-0400-000011000000}"/>
    <hyperlink ref="H41" r:id="rId19" xr:uid="{00000000-0004-0000-0400-000012000000}"/>
    <hyperlink ref="H42" r:id="rId20" xr:uid="{00000000-0004-0000-0400-000013000000}"/>
    <hyperlink ref="H43" r:id="rId21" xr:uid="{00000000-0004-0000-0400-000014000000}"/>
    <hyperlink ref="H44" r:id="rId22" xr:uid="{00000000-0004-0000-0400-000015000000}"/>
    <hyperlink ref="H45" r:id="rId23" xr:uid="{00000000-0004-0000-0400-000016000000}"/>
    <hyperlink ref="H46" r:id="rId24" xr:uid="{00000000-0004-0000-0400-000017000000}"/>
    <hyperlink ref="H47" r:id="rId25" xr:uid="{00000000-0004-0000-0400-000018000000}"/>
    <hyperlink ref="H48" r:id="rId26" xr:uid="{00000000-0004-0000-0400-000019000000}"/>
    <hyperlink ref="H49" r:id="rId27" xr:uid="{00000000-0004-0000-0400-00001A000000}"/>
    <hyperlink ref="H50" r:id="rId28" xr:uid="{00000000-0004-0000-0400-00001B000000}"/>
    <hyperlink ref="H51" r:id="rId29" xr:uid="{00000000-0004-0000-0400-00001C000000}"/>
    <hyperlink ref="H52" r:id="rId30" xr:uid="{00000000-0004-0000-0400-00001D000000}"/>
    <hyperlink ref="H53" r:id="rId31" xr:uid="{00000000-0004-0000-0400-00001E000000}"/>
    <hyperlink ref="H54" r:id="rId32" xr:uid="{00000000-0004-0000-0400-00001F000000}"/>
    <hyperlink ref="H55" r:id="rId33" xr:uid="{00000000-0004-0000-0400-000020000000}"/>
    <hyperlink ref="H56" r:id="rId34" xr:uid="{00000000-0004-0000-0400-000021000000}"/>
    <hyperlink ref="H57" r:id="rId35" xr:uid="{00000000-0004-0000-0400-000022000000}"/>
    <hyperlink ref="H58" r:id="rId36" xr:uid="{00000000-0004-0000-0400-000023000000}"/>
    <hyperlink ref="H59" r:id="rId37" xr:uid="{00000000-0004-0000-0400-000024000000}"/>
    <hyperlink ref="H62" r:id="rId38" xr:uid="{00000000-0004-0000-0400-000025000000}"/>
    <hyperlink ref="H63" r:id="rId39" xr:uid="{00000000-0004-0000-0400-000026000000}"/>
    <hyperlink ref="H65" r:id="rId40" xr:uid="{00000000-0004-0000-0400-000027000000}"/>
    <hyperlink ref="H67" r:id="rId41" xr:uid="{00000000-0004-0000-0400-000028000000}"/>
    <hyperlink ref="H68" r:id="rId42" xr:uid="{00000000-0004-0000-0400-000029000000}"/>
    <hyperlink ref="H69" r:id="rId43" xr:uid="{00000000-0004-0000-0400-00002A000000}"/>
    <hyperlink ref="H70" r:id="rId44" xr:uid="{00000000-0004-0000-0400-00002B000000}"/>
    <hyperlink ref="H71" r:id="rId45" xr:uid="{00000000-0004-0000-0400-00002C000000}"/>
    <hyperlink ref="H72" r:id="rId46" xr:uid="{00000000-0004-0000-0400-00002D000000}"/>
    <hyperlink ref="H73" r:id="rId47" xr:uid="{00000000-0004-0000-0400-00002E000000}"/>
    <hyperlink ref="H74" r:id="rId48" xr:uid="{00000000-0004-0000-0400-00002F000000}"/>
    <hyperlink ref="H75" r:id="rId49" xr:uid="{00000000-0004-0000-0400-000030000000}"/>
    <hyperlink ref="H76" r:id="rId50" xr:uid="{00000000-0004-0000-0400-000031000000}"/>
    <hyperlink ref="H78" r:id="rId51" xr:uid="{00000000-0004-0000-0400-000032000000}"/>
    <hyperlink ref="H79" r:id="rId52" xr:uid="{00000000-0004-0000-0400-000033000000}"/>
    <hyperlink ref="H81" r:id="rId53" xr:uid="{00000000-0004-0000-0400-000034000000}"/>
    <hyperlink ref="H83" r:id="rId54" xr:uid="{00000000-0004-0000-0400-000035000000}"/>
    <hyperlink ref="H84" r:id="rId55" xr:uid="{00000000-0004-0000-0400-000036000000}"/>
    <hyperlink ref="H85" r:id="rId56" xr:uid="{00000000-0004-0000-0400-000037000000}"/>
    <hyperlink ref="H86" r:id="rId57" xr:uid="{00000000-0004-0000-0400-000038000000}"/>
    <hyperlink ref="H87" r:id="rId58" xr:uid="{00000000-0004-0000-0400-000039000000}"/>
    <hyperlink ref="H89" r:id="rId59" xr:uid="{00000000-0004-0000-0400-00003A000000}"/>
    <hyperlink ref="H90" r:id="rId60" xr:uid="{00000000-0004-0000-0400-00003B000000}"/>
    <hyperlink ref="H91" r:id="rId61" xr:uid="{00000000-0004-0000-0400-00003C000000}"/>
    <hyperlink ref="H92" r:id="rId62" xr:uid="{00000000-0004-0000-0400-00003D000000}"/>
    <hyperlink ref="H93" r:id="rId63" xr:uid="{00000000-0004-0000-0400-00003E000000}"/>
    <hyperlink ref="H94" r:id="rId64" xr:uid="{00000000-0004-0000-0400-00003F000000}"/>
    <hyperlink ref="H96" r:id="rId65" xr:uid="{00000000-0004-0000-0400-000040000000}"/>
    <hyperlink ref="H97" r:id="rId66" xr:uid="{00000000-0004-0000-0400-000041000000}"/>
    <hyperlink ref="H98" r:id="rId67" xr:uid="{00000000-0004-0000-0400-000042000000}"/>
    <hyperlink ref="H99" r:id="rId68" xr:uid="{00000000-0004-0000-0400-000043000000}"/>
    <hyperlink ref="H100" r:id="rId69" xr:uid="{00000000-0004-0000-0400-000044000000}"/>
    <hyperlink ref="H101" r:id="rId70" xr:uid="{00000000-0004-0000-0400-000045000000}"/>
    <hyperlink ref="H102" r:id="rId71" xr:uid="{00000000-0004-0000-0400-000046000000}"/>
    <hyperlink ref="H103" r:id="rId72" xr:uid="{00000000-0004-0000-0400-000047000000}"/>
    <hyperlink ref="H104" r:id="rId73" xr:uid="{00000000-0004-0000-0400-000048000000}"/>
    <hyperlink ref="H105" r:id="rId74" xr:uid="{00000000-0004-0000-0400-000049000000}"/>
    <hyperlink ref="H106" r:id="rId75" xr:uid="{00000000-0004-0000-0400-00004A000000}"/>
    <hyperlink ref="H107" r:id="rId76" xr:uid="{00000000-0004-0000-0400-00004B000000}"/>
    <hyperlink ref="H108" r:id="rId77" xr:uid="{00000000-0004-0000-0400-00004C000000}"/>
    <hyperlink ref="H109" r:id="rId78" xr:uid="{00000000-0004-0000-0400-00004D000000}"/>
    <hyperlink ref="H110" r:id="rId79" xr:uid="{00000000-0004-0000-0400-00004E000000}"/>
    <hyperlink ref="H111" r:id="rId80" xr:uid="{00000000-0004-0000-0400-00004F000000}"/>
    <hyperlink ref="H112" r:id="rId81" xr:uid="{00000000-0004-0000-0400-000050000000}"/>
    <hyperlink ref="H113" r:id="rId82" xr:uid="{00000000-0004-0000-0400-000051000000}"/>
    <hyperlink ref="H114" r:id="rId83" xr:uid="{00000000-0004-0000-0400-000052000000}"/>
    <hyperlink ref="H115" r:id="rId84" xr:uid="{00000000-0004-0000-0400-000053000000}"/>
    <hyperlink ref="H116" r:id="rId85" xr:uid="{00000000-0004-0000-0400-000054000000}"/>
    <hyperlink ref="H117" r:id="rId86" xr:uid="{00000000-0004-0000-0400-000055000000}"/>
    <hyperlink ref="H118" r:id="rId87" xr:uid="{00000000-0004-0000-0400-000056000000}"/>
    <hyperlink ref="H119" r:id="rId88" xr:uid="{00000000-0004-0000-0400-000057000000}"/>
    <hyperlink ref="H120" r:id="rId89" xr:uid="{00000000-0004-0000-0400-000058000000}"/>
    <hyperlink ref="H121" r:id="rId90" xr:uid="{00000000-0004-0000-0400-000059000000}"/>
    <hyperlink ref="H122" r:id="rId91" xr:uid="{00000000-0004-0000-0400-00005A000000}"/>
    <hyperlink ref="H123" r:id="rId92" xr:uid="{00000000-0004-0000-0400-00005B000000}"/>
    <hyperlink ref="H124" r:id="rId93" xr:uid="{00000000-0004-0000-0400-00005C000000}"/>
    <hyperlink ref="H125" r:id="rId94" xr:uid="{00000000-0004-0000-0400-00005D000000}"/>
    <hyperlink ref="H126" r:id="rId95" xr:uid="{00000000-0004-0000-0400-00005E000000}"/>
    <hyperlink ref="H127" r:id="rId96" xr:uid="{00000000-0004-0000-0400-00005F000000}"/>
    <hyperlink ref="H128" r:id="rId97" xr:uid="{00000000-0004-0000-0400-000060000000}"/>
    <hyperlink ref="H129" r:id="rId98" xr:uid="{00000000-0004-0000-0400-000061000000}"/>
    <hyperlink ref="H130" r:id="rId99" xr:uid="{00000000-0004-0000-0400-000062000000}"/>
    <hyperlink ref="H131" r:id="rId100" xr:uid="{00000000-0004-0000-0400-000063000000}"/>
    <hyperlink ref="H132" r:id="rId101" xr:uid="{00000000-0004-0000-0400-000064000000}"/>
    <hyperlink ref="H133" r:id="rId102" xr:uid="{00000000-0004-0000-0400-000065000000}"/>
    <hyperlink ref="H134" r:id="rId103" xr:uid="{00000000-0004-0000-0400-000066000000}"/>
    <hyperlink ref="H135" r:id="rId104" xr:uid="{00000000-0004-0000-0400-000067000000}"/>
    <hyperlink ref="H136" r:id="rId105" xr:uid="{00000000-0004-0000-0400-000068000000}"/>
    <hyperlink ref="H137" r:id="rId106" xr:uid="{00000000-0004-0000-0400-000069000000}"/>
    <hyperlink ref="H138" r:id="rId107" xr:uid="{00000000-0004-0000-0400-00006A000000}"/>
    <hyperlink ref="H139" r:id="rId108" xr:uid="{00000000-0004-0000-0400-00006B000000}"/>
    <hyperlink ref="H140" r:id="rId109" xr:uid="{00000000-0004-0000-0400-00006C000000}"/>
    <hyperlink ref="H141" r:id="rId110" xr:uid="{00000000-0004-0000-0400-00006D000000}"/>
    <hyperlink ref="H142" r:id="rId111" xr:uid="{00000000-0004-0000-0400-00006E000000}"/>
    <hyperlink ref="H143" r:id="rId112" xr:uid="{00000000-0004-0000-0400-00006F000000}"/>
    <hyperlink ref="H144" r:id="rId113" xr:uid="{00000000-0004-0000-0400-000070000000}"/>
    <hyperlink ref="H145" r:id="rId114" xr:uid="{00000000-0004-0000-0400-000071000000}"/>
    <hyperlink ref="H146" r:id="rId115" xr:uid="{00000000-0004-0000-0400-000072000000}"/>
    <hyperlink ref="H147" r:id="rId116" xr:uid="{00000000-0004-0000-0400-000073000000}"/>
    <hyperlink ref="H148" r:id="rId117" xr:uid="{00000000-0004-0000-0400-000074000000}"/>
    <hyperlink ref="H149" r:id="rId118" xr:uid="{00000000-0004-0000-0400-000075000000}"/>
    <hyperlink ref="H150" r:id="rId119" xr:uid="{00000000-0004-0000-0400-000076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H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.75" customHeight="1"/>
  <cols>
    <col min="1" max="1" width="18" customWidth="1"/>
    <col min="2" max="2" width="19.7109375" customWidth="1"/>
    <col min="3" max="3" width="27.140625" customWidth="1"/>
    <col min="4" max="5" width="23.140625" customWidth="1"/>
    <col min="6" max="6" width="18.28515625" customWidth="1"/>
    <col min="7" max="7" width="15.5703125" customWidth="1"/>
    <col min="8" max="9" width="17.85546875" customWidth="1"/>
    <col min="11" max="11" width="16.42578125" customWidth="1"/>
    <col min="14" max="22" width="17.5703125" customWidth="1"/>
    <col min="23" max="23" width="17" customWidth="1"/>
    <col min="24" max="24" width="27" customWidth="1"/>
    <col min="25" max="25" width="28.42578125" customWidth="1"/>
    <col min="26" max="26" width="21.42578125" customWidth="1"/>
  </cols>
  <sheetData>
    <row r="1" spans="1:26" ht="111.75" customHeight="1">
      <c r="B1" s="49"/>
      <c r="C1" s="50" t="s">
        <v>509</v>
      </c>
      <c r="D1" s="49"/>
      <c r="E1" s="4"/>
      <c r="F1" s="49"/>
      <c r="G1" s="49"/>
      <c r="H1" s="49"/>
      <c r="I1" s="51"/>
      <c r="J1" s="52"/>
      <c r="K1" s="52"/>
      <c r="L1" s="52"/>
      <c r="M1" s="52"/>
      <c r="N1" s="49"/>
      <c r="O1" s="52"/>
      <c r="P1" s="52"/>
      <c r="Q1" s="52"/>
      <c r="R1" s="51"/>
      <c r="S1" s="52"/>
      <c r="T1" s="51"/>
      <c r="U1" s="52"/>
      <c r="V1" s="52"/>
      <c r="W1" s="49"/>
      <c r="X1" s="49"/>
      <c r="Y1" s="1"/>
      <c r="Z1" s="1"/>
    </row>
    <row r="2" spans="1:26" ht="22.5" customHeight="1">
      <c r="B2" s="53" t="s">
        <v>510</v>
      </c>
      <c r="C2" s="53" t="s">
        <v>511</v>
      </c>
      <c r="D2" s="53" t="s">
        <v>512</v>
      </c>
      <c r="E2" s="54" t="s">
        <v>513</v>
      </c>
      <c r="F2" s="53" t="s">
        <v>514</v>
      </c>
      <c r="G2" s="53" t="s">
        <v>0</v>
      </c>
      <c r="H2" s="53" t="s">
        <v>515</v>
      </c>
      <c r="I2" s="55" t="s">
        <v>516</v>
      </c>
      <c r="J2" s="56" t="s">
        <v>517</v>
      </c>
      <c r="K2" s="56" t="s">
        <v>518</v>
      </c>
      <c r="L2" s="56" t="s">
        <v>519</v>
      </c>
      <c r="M2" s="56" t="s">
        <v>520</v>
      </c>
      <c r="N2" s="53" t="s">
        <v>521</v>
      </c>
      <c r="O2" s="56" t="s">
        <v>522</v>
      </c>
      <c r="P2" s="56" t="s">
        <v>523</v>
      </c>
      <c r="Q2" s="56" t="s">
        <v>524</v>
      </c>
      <c r="R2" s="56" t="s">
        <v>525</v>
      </c>
      <c r="S2" s="55" t="s">
        <v>526</v>
      </c>
      <c r="T2" s="56" t="s">
        <v>527</v>
      </c>
      <c r="U2" s="56" t="s">
        <v>528</v>
      </c>
      <c r="V2" s="53" t="s">
        <v>529</v>
      </c>
      <c r="W2" s="53" t="s">
        <v>530</v>
      </c>
      <c r="X2" s="57" t="s">
        <v>531</v>
      </c>
      <c r="Y2" s="57" t="s">
        <v>11</v>
      </c>
    </row>
    <row r="3" spans="1:26" ht="22.5" customHeight="1">
      <c r="A3" s="50"/>
      <c r="B3" s="58" t="s">
        <v>532</v>
      </c>
      <c r="C3" s="58" t="s">
        <v>533</v>
      </c>
      <c r="D3" s="59">
        <v>1870000</v>
      </c>
      <c r="E3" s="60">
        <v>45818</v>
      </c>
      <c r="F3" s="61" t="s">
        <v>534</v>
      </c>
      <c r="G3" s="62" t="e">
        <f t="array" aca="1" ref="G3:M3" ca="1">TRANSPOSE(getYouTubeStats(F3, 30))</f>
        <v>#NAME?</v>
      </c>
      <c r="H3" s="58" t="e">
        <f ca="1"/>
        <v>#NAME?</v>
      </c>
      <c r="I3" s="58" t="e">
        <f ca="1"/>
        <v>#NAME?</v>
      </c>
      <c r="J3" s="59" t="e">
        <f ca="1"/>
        <v>#NAME?</v>
      </c>
      <c r="K3" s="59" t="e">
        <f ca="1"/>
        <v>#NAME?</v>
      </c>
      <c r="L3" s="59" t="e">
        <f ca="1"/>
        <v>#NAME?</v>
      </c>
      <c r="M3" s="59" t="e">
        <f ca="1"/>
        <v>#NAME?</v>
      </c>
      <c r="O3" s="59"/>
      <c r="P3" s="59"/>
      <c r="Q3" s="59"/>
      <c r="R3" s="59"/>
      <c r="T3" s="59"/>
      <c r="U3" s="59"/>
      <c r="V3" s="58" t="s">
        <v>535</v>
      </c>
      <c r="W3" s="58" t="s">
        <v>536</v>
      </c>
      <c r="X3" s="58" t="s">
        <v>537</v>
      </c>
      <c r="Y3" s="58" t="s">
        <v>538</v>
      </c>
    </row>
    <row r="4" spans="1:26" ht="22.5" customHeight="1">
      <c r="A4" s="50"/>
      <c r="B4" s="58" t="s">
        <v>539</v>
      </c>
      <c r="C4" s="58" t="s">
        <v>540</v>
      </c>
      <c r="D4" s="59">
        <v>4290000</v>
      </c>
      <c r="E4" s="60">
        <v>45824</v>
      </c>
      <c r="G4" s="63">
        <v>45824</v>
      </c>
      <c r="H4" s="57"/>
      <c r="J4" s="59"/>
      <c r="K4" s="59"/>
      <c r="L4" s="59"/>
      <c r="M4" s="59"/>
      <c r="O4" s="59"/>
      <c r="P4" s="59"/>
      <c r="Q4" s="59"/>
      <c r="R4" s="59"/>
      <c r="T4" s="59"/>
      <c r="U4" s="59"/>
      <c r="V4" s="58" t="s">
        <v>541</v>
      </c>
      <c r="W4" s="58" t="s">
        <v>542</v>
      </c>
      <c r="X4" s="58"/>
      <c r="Y4" s="58"/>
    </row>
    <row r="5" spans="1:26" ht="22.5" customHeight="1">
      <c r="A5" s="50"/>
      <c r="B5" s="58" t="s">
        <v>543</v>
      </c>
      <c r="C5" s="58" t="s">
        <v>544</v>
      </c>
      <c r="D5" s="59">
        <v>3850000</v>
      </c>
      <c r="E5" s="60">
        <v>45828</v>
      </c>
      <c r="G5" s="62"/>
      <c r="J5" s="59"/>
      <c r="K5" s="59"/>
      <c r="L5" s="59"/>
      <c r="M5" s="59"/>
      <c r="N5" s="64" t="s">
        <v>545</v>
      </c>
      <c r="O5" s="59">
        <v>634000</v>
      </c>
      <c r="P5" s="59">
        <v>6428</v>
      </c>
      <c r="Q5" s="59">
        <v>104</v>
      </c>
      <c r="R5" s="59">
        <v>341000</v>
      </c>
      <c r="T5" s="59"/>
      <c r="U5" s="59"/>
      <c r="V5" s="58" t="s">
        <v>535</v>
      </c>
      <c r="W5" s="58" t="s">
        <v>542</v>
      </c>
      <c r="X5" s="58"/>
      <c r="Y5" s="58"/>
    </row>
    <row r="6" spans="1:26" ht="22.5" customHeight="1">
      <c r="B6" s="58" t="s">
        <v>546</v>
      </c>
      <c r="C6" s="58" t="s">
        <v>547</v>
      </c>
      <c r="D6" s="59">
        <v>4400000</v>
      </c>
      <c r="E6" s="60">
        <v>45834</v>
      </c>
      <c r="F6" s="65" t="s">
        <v>548</v>
      </c>
      <c r="G6" s="62" t="e">
        <f t="array" aca="1" ref="G6:M6" ca="1">TRANSPOSE(getYouTubeStats(F6, 30))</f>
        <v>#NAME?</v>
      </c>
      <c r="H6" s="58" t="e">
        <f ca="1"/>
        <v>#NAME?</v>
      </c>
      <c r="I6" s="58" t="e">
        <f ca="1"/>
        <v>#NAME?</v>
      </c>
      <c r="J6" s="59" t="e">
        <f ca="1"/>
        <v>#NAME?</v>
      </c>
      <c r="K6" s="59" t="e">
        <f ca="1"/>
        <v>#NAME?</v>
      </c>
      <c r="L6" s="59" t="e">
        <f ca="1"/>
        <v>#NAME?</v>
      </c>
      <c r="M6" s="59" t="e">
        <f ca="1"/>
        <v>#NAME?</v>
      </c>
      <c r="N6" s="64" t="s">
        <v>549</v>
      </c>
      <c r="O6" s="59">
        <v>597000</v>
      </c>
      <c r="P6" s="59">
        <v>9405</v>
      </c>
      <c r="Q6" s="59">
        <v>54</v>
      </c>
      <c r="R6" s="59">
        <v>9795</v>
      </c>
      <c r="S6" s="64" t="s">
        <v>550</v>
      </c>
      <c r="T6" s="59">
        <v>202800</v>
      </c>
      <c r="U6" s="59">
        <v>4075</v>
      </c>
      <c r="V6" s="58" t="s">
        <v>535</v>
      </c>
      <c r="W6" s="58" t="s">
        <v>542</v>
      </c>
      <c r="X6" s="58"/>
      <c r="Y6" s="58" t="s">
        <v>538</v>
      </c>
    </row>
    <row r="7" spans="1:26" ht="22.5" customHeight="1">
      <c r="B7" s="58" t="s">
        <v>551</v>
      </c>
      <c r="C7" s="58" t="s">
        <v>552</v>
      </c>
      <c r="D7" s="59">
        <v>2661291</v>
      </c>
      <c r="E7" s="60"/>
      <c r="G7" s="62"/>
      <c r="J7" s="59"/>
      <c r="K7" s="59"/>
      <c r="L7" s="59"/>
      <c r="M7" s="59"/>
      <c r="O7" s="59"/>
      <c r="P7" s="59"/>
      <c r="Q7" s="59"/>
      <c r="R7" s="59"/>
      <c r="T7" s="59"/>
      <c r="U7" s="59"/>
      <c r="V7" s="58"/>
      <c r="W7" s="58"/>
      <c r="X7" s="58"/>
      <c r="Y7" s="58"/>
    </row>
    <row r="8" spans="1:26" ht="22.5" customHeight="1">
      <c r="B8" s="58" t="s">
        <v>553</v>
      </c>
      <c r="C8" s="58" t="s">
        <v>554</v>
      </c>
      <c r="D8" s="59">
        <v>275000</v>
      </c>
      <c r="E8" s="60">
        <v>45840</v>
      </c>
      <c r="F8" s="65" t="s">
        <v>555</v>
      </c>
      <c r="G8" s="62" t="e">
        <f t="shared" ref="G8:G14" ca="1" si="0">TRANSPOSE(getYouTubeStats(F8, 30))</f>
        <v>#NAME?</v>
      </c>
      <c r="H8" s="58" t="s">
        <v>556</v>
      </c>
      <c r="I8" s="58" t="s">
        <v>557</v>
      </c>
      <c r="J8" s="59">
        <v>263533</v>
      </c>
      <c r="K8" s="59">
        <v>141</v>
      </c>
      <c r="L8" s="59">
        <v>36</v>
      </c>
      <c r="M8" s="59">
        <v>16900</v>
      </c>
      <c r="O8" s="59"/>
      <c r="P8" s="59"/>
      <c r="Q8" s="59"/>
      <c r="R8" s="59"/>
      <c r="T8" s="59"/>
      <c r="U8" s="59"/>
      <c r="V8" s="58" t="s">
        <v>541</v>
      </c>
      <c r="W8" s="58" t="s">
        <v>542</v>
      </c>
      <c r="X8" s="58"/>
      <c r="Y8" s="58"/>
    </row>
    <row r="9" spans="1:26" ht="22.5" customHeight="1">
      <c r="B9" s="58" t="s">
        <v>558</v>
      </c>
      <c r="C9" s="58" t="s">
        <v>559</v>
      </c>
      <c r="D9" s="59">
        <v>1100000</v>
      </c>
      <c r="E9" s="60">
        <v>45868</v>
      </c>
      <c r="F9" s="65" t="s">
        <v>560</v>
      </c>
      <c r="G9" s="62" t="e">
        <f t="shared" ca="1" si="0"/>
        <v>#NAME?</v>
      </c>
      <c r="H9" s="58" t="s">
        <v>561</v>
      </c>
      <c r="I9" s="58" t="s">
        <v>562</v>
      </c>
      <c r="J9" s="59">
        <v>43604</v>
      </c>
      <c r="K9" s="59">
        <v>652</v>
      </c>
      <c r="L9" s="59">
        <v>29</v>
      </c>
      <c r="M9" s="59">
        <v>115000</v>
      </c>
      <c r="N9" s="64" t="s">
        <v>563</v>
      </c>
      <c r="O9" s="59">
        <v>16000</v>
      </c>
      <c r="P9" s="59">
        <v>79</v>
      </c>
      <c r="Q9" s="59">
        <v>7</v>
      </c>
      <c r="R9" s="59">
        <v>42000</v>
      </c>
      <c r="T9" s="59"/>
      <c r="U9" s="59"/>
      <c r="V9" s="58" t="s">
        <v>535</v>
      </c>
      <c r="W9" s="58" t="s">
        <v>536</v>
      </c>
      <c r="X9" s="58" t="s">
        <v>564</v>
      </c>
      <c r="Y9" s="58"/>
    </row>
    <row r="10" spans="1:26" ht="22.5" customHeight="1">
      <c r="B10" s="58" t="s">
        <v>565</v>
      </c>
      <c r="C10" s="58" t="s">
        <v>533</v>
      </c>
      <c r="D10" s="59">
        <v>1950000</v>
      </c>
      <c r="E10" s="60">
        <v>45863</v>
      </c>
      <c r="F10" s="61" t="s">
        <v>566</v>
      </c>
      <c r="G10" s="62" t="e">
        <f t="shared" ca="1" si="0"/>
        <v>#NAME?</v>
      </c>
      <c r="H10" s="58" t="s">
        <v>567</v>
      </c>
      <c r="I10" s="58" t="s">
        <v>568</v>
      </c>
      <c r="J10" s="59">
        <v>58147</v>
      </c>
      <c r="K10" s="59">
        <v>605</v>
      </c>
      <c r="L10" s="59">
        <v>42</v>
      </c>
      <c r="M10" s="59">
        <v>114000</v>
      </c>
      <c r="O10" s="59"/>
      <c r="P10" s="59"/>
      <c r="Q10" s="59"/>
      <c r="R10" s="59"/>
      <c r="T10" s="59"/>
      <c r="U10" s="59"/>
      <c r="V10" s="58"/>
      <c r="W10" s="58"/>
      <c r="X10" s="58"/>
      <c r="Y10" s="58"/>
    </row>
    <row r="11" spans="1:26" ht="22.5" customHeight="1">
      <c r="A11" s="50" t="s">
        <v>569</v>
      </c>
      <c r="B11" s="58" t="s">
        <v>570</v>
      </c>
      <c r="C11" s="58" t="s">
        <v>547</v>
      </c>
      <c r="D11" s="59">
        <v>3850000</v>
      </c>
      <c r="E11" s="60">
        <v>45868</v>
      </c>
      <c r="F11" s="61" t="s">
        <v>571</v>
      </c>
      <c r="G11" s="62" t="e">
        <f t="shared" ca="1" si="0"/>
        <v>#NAME?</v>
      </c>
      <c r="H11" s="58" t="s">
        <v>572</v>
      </c>
      <c r="I11" s="58" t="s">
        <v>573</v>
      </c>
      <c r="J11" s="59">
        <v>261803</v>
      </c>
      <c r="K11" s="59">
        <v>783</v>
      </c>
      <c r="L11" s="59">
        <v>34</v>
      </c>
      <c r="M11" s="59">
        <v>72700</v>
      </c>
      <c r="N11" s="64" t="s">
        <v>574</v>
      </c>
      <c r="O11" s="59">
        <v>1439000</v>
      </c>
      <c r="P11" s="59">
        <v>141</v>
      </c>
      <c r="Q11" s="59">
        <v>8</v>
      </c>
      <c r="R11" s="59">
        <v>40000</v>
      </c>
      <c r="T11" s="59"/>
      <c r="U11" s="59"/>
      <c r="V11" s="58"/>
      <c r="W11" s="58"/>
      <c r="X11" s="58"/>
      <c r="Y11" s="58" t="s">
        <v>538</v>
      </c>
    </row>
    <row r="12" spans="1:26" ht="22.5" customHeight="1">
      <c r="B12" s="58" t="s">
        <v>543</v>
      </c>
      <c r="C12" s="58" t="s">
        <v>547</v>
      </c>
      <c r="D12" s="59">
        <v>9460000</v>
      </c>
      <c r="E12" s="60">
        <v>45919</v>
      </c>
      <c r="F12" s="66" t="s">
        <v>575</v>
      </c>
      <c r="G12" s="62" t="e">
        <f t="shared" ca="1" si="0"/>
        <v>#NAME?</v>
      </c>
      <c r="H12" s="58" t="s">
        <v>576</v>
      </c>
      <c r="I12" s="58" t="s">
        <v>577</v>
      </c>
      <c r="J12" s="59">
        <v>189289</v>
      </c>
      <c r="K12" s="59">
        <v>4499</v>
      </c>
      <c r="L12" s="59">
        <v>121</v>
      </c>
      <c r="M12" s="59">
        <v>671000</v>
      </c>
      <c r="N12" s="67" t="s">
        <v>578</v>
      </c>
      <c r="O12" s="59">
        <v>65000</v>
      </c>
      <c r="P12" s="59">
        <v>877</v>
      </c>
      <c r="Q12" s="59">
        <v>14</v>
      </c>
      <c r="R12" s="59" t="s">
        <v>579</v>
      </c>
      <c r="S12" s="58"/>
      <c r="T12" s="59"/>
      <c r="U12" s="59"/>
      <c r="V12" s="58"/>
      <c r="W12" s="58" t="s">
        <v>536</v>
      </c>
      <c r="X12" s="58" t="s">
        <v>580</v>
      </c>
      <c r="Y12" s="58" t="s">
        <v>581</v>
      </c>
    </row>
    <row r="13" spans="1:26" ht="22.5" customHeight="1">
      <c r="B13" s="58" t="s">
        <v>582</v>
      </c>
      <c r="C13" s="58" t="s">
        <v>533</v>
      </c>
      <c r="D13" s="59">
        <v>3300000</v>
      </c>
      <c r="E13" s="60">
        <v>45940</v>
      </c>
      <c r="F13" s="67" t="s">
        <v>583</v>
      </c>
      <c r="G13" s="62" t="e">
        <f t="shared" ca="1" si="0"/>
        <v>#NAME?</v>
      </c>
      <c r="H13" s="58" t="s">
        <v>584</v>
      </c>
      <c r="I13" s="58" t="s">
        <v>585</v>
      </c>
      <c r="J13" s="59">
        <v>15010</v>
      </c>
      <c r="K13" s="59">
        <v>217</v>
      </c>
      <c r="L13" s="59">
        <v>15</v>
      </c>
      <c r="M13" s="59">
        <v>82700</v>
      </c>
      <c r="N13" s="58"/>
      <c r="O13" s="59"/>
      <c r="P13" s="59"/>
      <c r="Q13" s="59"/>
      <c r="R13" s="59"/>
      <c r="S13" s="58"/>
      <c r="T13" s="59"/>
      <c r="U13" s="59"/>
      <c r="V13" s="58" t="s">
        <v>541</v>
      </c>
      <c r="W13" s="58" t="s">
        <v>536</v>
      </c>
      <c r="X13" s="58"/>
      <c r="Y13" s="58"/>
    </row>
    <row r="14" spans="1:26" ht="22.5" customHeight="1">
      <c r="B14" s="58" t="s">
        <v>586</v>
      </c>
      <c r="C14" s="58" t="s">
        <v>533</v>
      </c>
      <c r="D14" s="59">
        <v>7800000</v>
      </c>
      <c r="E14" s="60">
        <v>45952</v>
      </c>
      <c r="F14" s="66" t="s">
        <v>587</v>
      </c>
      <c r="G14" s="62" t="e">
        <f t="shared" ca="1" si="0"/>
        <v>#NAME?</v>
      </c>
      <c r="H14" s="58" t="s">
        <v>588</v>
      </c>
      <c r="I14" s="58" t="s">
        <v>589</v>
      </c>
      <c r="J14" s="59">
        <v>696502</v>
      </c>
      <c r="K14" s="59">
        <v>5611</v>
      </c>
      <c r="L14" s="59">
        <v>219</v>
      </c>
      <c r="M14" s="59">
        <v>269000</v>
      </c>
      <c r="N14" s="58"/>
      <c r="O14" s="59"/>
      <c r="P14" s="59" t="s">
        <v>590</v>
      </c>
      <c r="Q14" s="59"/>
      <c r="R14" s="59"/>
      <c r="S14" s="58"/>
      <c r="T14" s="59"/>
      <c r="U14" s="59"/>
      <c r="V14" s="58" t="s">
        <v>541</v>
      </c>
      <c r="W14" s="58" t="s">
        <v>591</v>
      </c>
      <c r="X14" s="58"/>
      <c r="Y14" s="58" t="s">
        <v>592</v>
      </c>
    </row>
    <row r="15" spans="1:26" ht="22.5" customHeight="1">
      <c r="B15" s="58" t="s">
        <v>593</v>
      </c>
      <c r="C15" s="58" t="s">
        <v>594</v>
      </c>
      <c r="D15" s="59">
        <v>486610</v>
      </c>
      <c r="E15" s="60">
        <v>45954</v>
      </c>
      <c r="F15" s="58"/>
      <c r="G15" s="68"/>
      <c r="H15" s="57"/>
      <c r="J15" s="59"/>
      <c r="K15" s="59"/>
      <c r="L15" s="59"/>
      <c r="M15" s="59"/>
      <c r="N15" s="58"/>
      <c r="O15" s="59"/>
      <c r="P15" s="59"/>
      <c r="Q15" s="59"/>
      <c r="R15" s="59"/>
      <c r="S15" s="58"/>
      <c r="T15" s="59"/>
      <c r="U15" s="59"/>
      <c r="V15" s="58"/>
      <c r="W15" s="58"/>
      <c r="X15" s="58"/>
      <c r="Y15" s="58" t="s">
        <v>595</v>
      </c>
    </row>
    <row r="16" spans="1:26" ht="22.5" customHeight="1">
      <c r="B16" s="69" t="s">
        <v>596</v>
      </c>
      <c r="C16" s="70" t="s">
        <v>594</v>
      </c>
      <c r="D16" s="71">
        <v>386800</v>
      </c>
      <c r="E16" s="72">
        <v>45965</v>
      </c>
      <c r="F16" s="73"/>
      <c r="G16" s="74"/>
      <c r="H16" s="75"/>
      <c r="I16" s="70"/>
      <c r="J16" s="76"/>
      <c r="K16" s="76"/>
      <c r="L16" s="76"/>
      <c r="M16" s="76"/>
      <c r="N16" s="73"/>
      <c r="O16" s="76"/>
      <c r="P16" s="76"/>
      <c r="Q16" s="77"/>
      <c r="R16" s="76"/>
      <c r="S16" s="73"/>
      <c r="T16" s="76"/>
      <c r="U16" s="76"/>
      <c r="V16" s="73"/>
      <c r="W16" s="73"/>
      <c r="X16" s="73"/>
      <c r="Y16" s="58" t="s">
        <v>595</v>
      </c>
    </row>
    <row r="17" spans="1:32" ht="22.5" customHeight="1">
      <c r="B17" s="78" t="s">
        <v>597</v>
      </c>
      <c r="C17" s="79" t="s">
        <v>552</v>
      </c>
      <c r="D17" s="80">
        <v>600000</v>
      </c>
      <c r="E17" s="60">
        <v>45983</v>
      </c>
      <c r="F17" s="81"/>
      <c r="G17" s="82"/>
      <c r="H17" s="82"/>
      <c r="I17" s="79"/>
      <c r="J17" s="83"/>
      <c r="K17" s="83"/>
      <c r="L17" s="83"/>
      <c r="M17" s="83"/>
      <c r="N17" s="81"/>
      <c r="O17" s="83"/>
      <c r="P17" s="83"/>
      <c r="Q17" s="84" t="s">
        <v>598</v>
      </c>
      <c r="R17" s="83"/>
      <c r="S17" s="81"/>
      <c r="T17" s="83"/>
      <c r="U17" s="83"/>
      <c r="V17" s="81"/>
      <c r="W17" s="81"/>
      <c r="X17" s="85"/>
      <c r="Y17" s="86" t="s">
        <v>599</v>
      </c>
    </row>
    <row r="18" spans="1:32" ht="22.5" customHeight="1">
      <c r="A18" s="1" t="s">
        <v>600</v>
      </c>
      <c r="B18" s="87" t="s">
        <v>601</v>
      </c>
      <c r="C18" s="88" t="s">
        <v>544</v>
      </c>
      <c r="D18" s="89">
        <v>550000</v>
      </c>
      <c r="E18" s="60">
        <v>45981</v>
      </c>
      <c r="F18" s="90"/>
      <c r="G18" s="82"/>
      <c r="H18" s="91">
        <f>E18+30</f>
        <v>46011</v>
      </c>
      <c r="I18" s="88"/>
      <c r="J18" s="92"/>
      <c r="K18" s="92"/>
      <c r="L18" s="92"/>
      <c r="M18" s="92"/>
      <c r="N18" s="93" t="s">
        <v>602</v>
      </c>
      <c r="O18" s="92">
        <v>36000</v>
      </c>
      <c r="P18" s="92">
        <v>120</v>
      </c>
      <c r="Q18" s="92">
        <v>24</v>
      </c>
      <c r="R18" s="92">
        <v>24000</v>
      </c>
      <c r="S18" s="88"/>
      <c r="T18" s="92"/>
      <c r="U18" s="92"/>
      <c r="V18" s="88" t="s">
        <v>541</v>
      </c>
      <c r="W18" s="88" t="s">
        <v>542</v>
      </c>
      <c r="X18" s="94" t="s">
        <v>603</v>
      </c>
      <c r="Y18" s="95" t="s">
        <v>604</v>
      </c>
    </row>
    <row r="19" spans="1:32" ht="22.5" customHeight="1">
      <c r="B19" s="78" t="s">
        <v>605</v>
      </c>
      <c r="C19" s="81" t="s">
        <v>544</v>
      </c>
      <c r="D19" s="89">
        <v>550000</v>
      </c>
      <c r="E19" s="60">
        <v>45984</v>
      </c>
      <c r="F19" s="96"/>
      <c r="G19" s="82"/>
      <c r="H19" s="81"/>
      <c r="I19" s="81"/>
      <c r="J19" s="83"/>
      <c r="K19" s="83"/>
      <c r="L19" s="83"/>
      <c r="M19" s="83"/>
      <c r="N19" s="97" t="s">
        <v>606</v>
      </c>
      <c r="O19" s="83">
        <v>16000</v>
      </c>
      <c r="P19" s="83">
        <v>78</v>
      </c>
      <c r="Q19" s="83">
        <v>27</v>
      </c>
      <c r="R19" s="83">
        <v>56000</v>
      </c>
      <c r="S19" s="81"/>
      <c r="T19" s="83"/>
      <c r="U19" s="83"/>
      <c r="V19" s="81" t="s">
        <v>541</v>
      </c>
      <c r="W19" s="81" t="s">
        <v>542</v>
      </c>
      <c r="X19" s="98" t="s">
        <v>607</v>
      </c>
      <c r="Y19" s="99" t="s">
        <v>604</v>
      </c>
    </row>
    <row r="20" spans="1:32" ht="22.5" customHeight="1">
      <c r="B20" s="87" t="s">
        <v>608</v>
      </c>
      <c r="C20" s="88" t="s">
        <v>544</v>
      </c>
      <c r="D20" s="89">
        <v>550000</v>
      </c>
      <c r="E20" s="60">
        <v>45985</v>
      </c>
      <c r="F20" s="90"/>
      <c r="G20" s="82"/>
      <c r="H20" s="88"/>
      <c r="I20" s="88"/>
      <c r="J20" s="92"/>
      <c r="K20" s="92"/>
      <c r="L20" s="92"/>
      <c r="M20" s="92"/>
      <c r="N20" s="100" t="s">
        <v>609</v>
      </c>
      <c r="O20" s="92">
        <v>203000</v>
      </c>
      <c r="P20" s="92">
        <v>480</v>
      </c>
      <c r="Q20" s="92">
        <v>12</v>
      </c>
      <c r="R20" s="92">
        <v>2545</v>
      </c>
      <c r="S20" s="88"/>
      <c r="T20" s="92"/>
      <c r="U20" s="92"/>
      <c r="V20" s="88" t="s">
        <v>541</v>
      </c>
      <c r="W20" s="88" t="s">
        <v>542</v>
      </c>
      <c r="X20" s="101" t="s">
        <v>610</v>
      </c>
      <c r="Y20" s="99" t="s">
        <v>604</v>
      </c>
    </row>
    <row r="21" spans="1:32" ht="22.5" customHeight="1">
      <c r="B21" s="78" t="s">
        <v>611</v>
      </c>
      <c r="C21" s="81" t="s">
        <v>544</v>
      </c>
      <c r="D21" s="89">
        <v>550000</v>
      </c>
      <c r="E21" s="60">
        <v>45985</v>
      </c>
      <c r="F21" s="102"/>
      <c r="G21" s="82"/>
      <c r="H21" s="81"/>
      <c r="I21" s="81"/>
      <c r="J21" s="83"/>
      <c r="K21" s="83"/>
      <c r="L21" s="83"/>
      <c r="M21" s="83"/>
      <c r="N21" s="97" t="s">
        <v>612</v>
      </c>
      <c r="O21" s="83">
        <v>9463</v>
      </c>
      <c r="P21" s="83">
        <v>56</v>
      </c>
      <c r="Q21" s="83">
        <v>30</v>
      </c>
      <c r="R21" s="83">
        <v>44000</v>
      </c>
      <c r="S21" s="81"/>
      <c r="T21" s="83"/>
      <c r="U21" s="83"/>
      <c r="V21" s="81" t="s">
        <v>541</v>
      </c>
      <c r="W21" s="81" t="s">
        <v>542</v>
      </c>
      <c r="X21" s="98" t="s">
        <v>613</v>
      </c>
      <c r="Y21" s="99" t="s">
        <v>604</v>
      </c>
    </row>
    <row r="22" spans="1:32" ht="22.5" customHeight="1">
      <c r="B22" s="58" t="s">
        <v>614</v>
      </c>
      <c r="C22" s="58" t="s">
        <v>544</v>
      </c>
      <c r="D22" s="89">
        <v>550000</v>
      </c>
      <c r="E22" s="60">
        <v>45986</v>
      </c>
      <c r="F22" s="90"/>
      <c r="G22" s="82"/>
      <c r="J22" s="59"/>
      <c r="K22" s="59"/>
      <c r="L22" s="59"/>
      <c r="M22" s="59"/>
      <c r="N22" s="103" t="s">
        <v>615</v>
      </c>
      <c r="O22" s="59">
        <v>10000</v>
      </c>
      <c r="P22" s="59">
        <v>39</v>
      </c>
      <c r="Q22" s="59">
        <v>9</v>
      </c>
      <c r="R22" s="83">
        <v>54000</v>
      </c>
      <c r="S22" s="58"/>
      <c r="T22" s="59"/>
      <c r="U22" s="59"/>
      <c r="V22" s="58" t="s">
        <v>541</v>
      </c>
      <c r="W22" s="58" t="s">
        <v>542</v>
      </c>
      <c r="X22" s="57" t="s">
        <v>616</v>
      </c>
      <c r="Y22" s="99" t="s">
        <v>604</v>
      </c>
    </row>
    <row r="23" spans="1:32" ht="22.5" customHeight="1">
      <c r="B23" s="58" t="s">
        <v>617</v>
      </c>
      <c r="C23" s="58" t="s">
        <v>544</v>
      </c>
      <c r="D23" s="89">
        <v>550000</v>
      </c>
      <c r="E23" s="60">
        <v>45987</v>
      </c>
      <c r="F23" s="104"/>
      <c r="G23" s="82"/>
      <c r="J23" s="59"/>
      <c r="K23" s="59"/>
      <c r="L23" s="59"/>
      <c r="M23" s="59"/>
      <c r="N23" s="66" t="s">
        <v>618</v>
      </c>
      <c r="O23" s="59">
        <v>38000</v>
      </c>
      <c r="P23" s="59">
        <v>664</v>
      </c>
      <c r="Q23" s="59">
        <v>26</v>
      </c>
      <c r="R23" s="83">
        <v>64000</v>
      </c>
      <c r="S23" s="58"/>
      <c r="T23" s="59"/>
      <c r="U23" s="59"/>
      <c r="V23" s="58" t="s">
        <v>541</v>
      </c>
      <c r="W23" s="58" t="s">
        <v>542</v>
      </c>
      <c r="X23" s="57" t="s">
        <v>619</v>
      </c>
      <c r="Y23" s="99" t="s">
        <v>604</v>
      </c>
    </row>
    <row r="24" spans="1:32" ht="22.5" customHeight="1">
      <c r="B24" s="58" t="s">
        <v>620</v>
      </c>
      <c r="C24" s="58" t="s">
        <v>544</v>
      </c>
      <c r="D24" s="89">
        <v>550000</v>
      </c>
      <c r="E24" s="60">
        <v>45988</v>
      </c>
      <c r="F24" s="105"/>
      <c r="G24" s="82"/>
      <c r="J24" s="59"/>
      <c r="K24" s="59"/>
      <c r="L24" s="59"/>
      <c r="M24" s="59"/>
      <c r="N24" s="67" t="s">
        <v>621</v>
      </c>
      <c r="O24" s="59">
        <v>16000</v>
      </c>
      <c r="P24" s="59">
        <v>199</v>
      </c>
      <c r="Q24" s="59">
        <v>69</v>
      </c>
      <c r="R24" s="83">
        <v>103000</v>
      </c>
      <c r="S24" s="58"/>
      <c r="T24" s="59"/>
      <c r="U24" s="59"/>
      <c r="V24" s="58" t="s">
        <v>541</v>
      </c>
      <c r="W24" s="58" t="s">
        <v>542</v>
      </c>
      <c r="X24" s="58" t="s">
        <v>622</v>
      </c>
      <c r="Y24" s="99" t="s">
        <v>604</v>
      </c>
    </row>
    <row r="25" spans="1:32" ht="22.5" customHeight="1">
      <c r="B25" s="58" t="s">
        <v>623</v>
      </c>
      <c r="C25" s="58" t="s">
        <v>544</v>
      </c>
      <c r="D25" s="89">
        <v>550000</v>
      </c>
      <c r="E25" s="60">
        <v>45988</v>
      </c>
      <c r="F25" s="104"/>
      <c r="G25" s="82"/>
      <c r="J25" s="59"/>
      <c r="K25" s="59"/>
      <c r="L25" s="59"/>
      <c r="M25" s="59"/>
      <c r="N25" s="103" t="s">
        <v>624</v>
      </c>
      <c r="O25" s="59">
        <v>24000</v>
      </c>
      <c r="P25" s="59">
        <v>155</v>
      </c>
      <c r="Q25" s="59">
        <v>14</v>
      </c>
      <c r="R25" s="59">
        <v>7229</v>
      </c>
      <c r="S25" s="58"/>
      <c r="T25" s="59"/>
      <c r="U25" s="59"/>
      <c r="V25" s="58" t="s">
        <v>541</v>
      </c>
      <c r="W25" s="58" t="s">
        <v>542</v>
      </c>
      <c r="X25" s="58" t="s">
        <v>625</v>
      </c>
      <c r="Y25" s="99" t="s">
        <v>604</v>
      </c>
    </row>
    <row r="26" spans="1:32" ht="22.5" customHeight="1">
      <c r="B26" s="69" t="s">
        <v>626</v>
      </c>
      <c r="C26" s="73" t="s">
        <v>544</v>
      </c>
      <c r="D26" s="89">
        <v>550000</v>
      </c>
      <c r="E26" s="60">
        <v>45992</v>
      </c>
      <c r="F26" s="106"/>
      <c r="G26" s="82"/>
      <c r="H26" s="73"/>
      <c r="I26" s="73"/>
      <c r="J26" s="76"/>
      <c r="K26" s="76"/>
      <c r="L26" s="76"/>
      <c r="M26" s="76"/>
      <c r="N26" s="107" t="s">
        <v>627</v>
      </c>
      <c r="O26" s="76">
        <v>11000</v>
      </c>
      <c r="P26" s="76">
        <v>364</v>
      </c>
      <c r="Q26" s="76">
        <v>70</v>
      </c>
      <c r="R26" s="108">
        <v>41000</v>
      </c>
      <c r="S26" s="73"/>
      <c r="T26" s="76"/>
      <c r="U26" s="59"/>
      <c r="V26" s="58" t="s">
        <v>541</v>
      </c>
      <c r="W26" s="58" t="s">
        <v>542</v>
      </c>
      <c r="X26" s="58" t="s">
        <v>628</v>
      </c>
      <c r="Y26" s="99" t="s">
        <v>604</v>
      </c>
    </row>
    <row r="27" spans="1:32" ht="22.5" customHeight="1">
      <c r="B27" s="109" t="s">
        <v>629</v>
      </c>
      <c r="C27" s="110" t="s">
        <v>544</v>
      </c>
      <c r="D27" s="111">
        <v>550000</v>
      </c>
      <c r="E27" s="60">
        <v>45998</v>
      </c>
      <c r="F27" s="104"/>
      <c r="G27" s="82"/>
      <c r="H27" s="110"/>
      <c r="I27" s="110"/>
      <c r="J27" s="112"/>
      <c r="K27" s="112"/>
      <c r="L27" s="112"/>
      <c r="M27" s="112"/>
      <c r="N27" s="113" t="s">
        <v>630</v>
      </c>
      <c r="O27" s="112">
        <v>14000</v>
      </c>
      <c r="P27" s="112">
        <v>102</v>
      </c>
      <c r="Q27" s="112">
        <v>22</v>
      </c>
      <c r="R27" s="83">
        <v>23000</v>
      </c>
      <c r="S27" s="110"/>
      <c r="T27" s="112"/>
      <c r="U27" s="59"/>
      <c r="V27" s="58" t="s">
        <v>541</v>
      </c>
      <c r="W27" s="58" t="s">
        <v>542</v>
      </c>
      <c r="X27" s="58" t="s">
        <v>631</v>
      </c>
      <c r="Y27" s="99" t="s">
        <v>604</v>
      </c>
    </row>
    <row r="28" spans="1:32" ht="22.5" customHeight="1">
      <c r="B28" s="69" t="s">
        <v>632</v>
      </c>
      <c r="C28" s="73" t="s">
        <v>552</v>
      </c>
      <c r="D28" s="71">
        <v>880000</v>
      </c>
      <c r="E28" s="60">
        <v>45987</v>
      </c>
      <c r="F28" s="106"/>
      <c r="G28" s="82"/>
      <c r="H28" s="73"/>
      <c r="I28" s="73"/>
      <c r="J28" s="76"/>
      <c r="K28" s="76"/>
      <c r="L28" s="76"/>
      <c r="M28" s="76"/>
      <c r="N28" s="73"/>
      <c r="O28" s="76"/>
      <c r="P28" s="76"/>
      <c r="Q28" s="76"/>
      <c r="R28" s="76"/>
      <c r="S28" s="73"/>
      <c r="T28" s="76"/>
      <c r="U28" s="76"/>
      <c r="V28" s="73"/>
      <c r="W28" s="73"/>
      <c r="X28" s="58"/>
      <c r="Y28" s="114" t="s">
        <v>633</v>
      </c>
    </row>
    <row r="29" spans="1:32" ht="22.5" customHeight="1">
      <c r="B29" s="58" t="s">
        <v>634</v>
      </c>
      <c r="C29" s="58" t="s">
        <v>552</v>
      </c>
      <c r="D29" s="59">
        <v>330000</v>
      </c>
      <c r="E29" s="60">
        <v>45996</v>
      </c>
      <c r="F29" s="104"/>
      <c r="G29" s="82"/>
      <c r="J29" s="59"/>
      <c r="K29" s="59"/>
      <c r="L29" s="59"/>
      <c r="M29" s="59"/>
      <c r="N29" s="58"/>
      <c r="O29" s="59"/>
      <c r="P29" s="59"/>
      <c r="Q29" s="59"/>
      <c r="R29" s="59"/>
      <c r="S29" s="58"/>
      <c r="T29" s="59"/>
      <c r="U29" s="59"/>
      <c r="V29" s="58"/>
      <c r="W29" s="58"/>
      <c r="X29" s="58"/>
      <c r="Y29" s="114" t="s">
        <v>633</v>
      </c>
    </row>
    <row r="30" spans="1:32" ht="22.5" customHeight="1">
      <c r="A30" s="4" t="s">
        <v>635</v>
      </c>
      <c r="B30" s="69" t="s">
        <v>636</v>
      </c>
      <c r="C30" s="70" t="s">
        <v>544</v>
      </c>
      <c r="D30" s="71">
        <v>785714</v>
      </c>
      <c r="E30" s="60">
        <v>46000</v>
      </c>
      <c r="F30" s="106"/>
      <c r="G30" s="82"/>
      <c r="H30" s="91">
        <f>E30+30</f>
        <v>46030</v>
      </c>
      <c r="I30" s="73"/>
      <c r="J30" s="76"/>
      <c r="K30" s="76"/>
      <c r="L30" s="76"/>
      <c r="M30" s="76"/>
      <c r="N30" s="115" t="s">
        <v>637</v>
      </c>
      <c r="O30" s="76">
        <v>34000</v>
      </c>
      <c r="P30" s="76"/>
      <c r="Q30" s="76">
        <v>20</v>
      </c>
      <c r="R30" s="76">
        <v>19000</v>
      </c>
      <c r="S30" s="73"/>
      <c r="T30" s="76"/>
      <c r="U30" s="76"/>
      <c r="V30" s="73" t="s">
        <v>638</v>
      </c>
      <c r="W30" s="73"/>
      <c r="X30" s="58"/>
      <c r="Y30" s="95" t="s">
        <v>639</v>
      </c>
      <c r="Z30" s="4"/>
      <c r="AA30" s="4"/>
      <c r="AB30" s="4"/>
      <c r="AC30" s="4"/>
      <c r="AD30" s="4"/>
      <c r="AE30" s="4"/>
      <c r="AF30" s="4"/>
    </row>
    <row r="31" spans="1:32" ht="22.5" customHeight="1">
      <c r="A31" s="4"/>
      <c r="B31" s="109" t="s">
        <v>640</v>
      </c>
      <c r="C31" s="116" t="s">
        <v>544</v>
      </c>
      <c r="D31" s="111">
        <v>785714</v>
      </c>
      <c r="E31" s="60">
        <v>46000</v>
      </c>
      <c r="F31" s="104"/>
      <c r="G31" s="82"/>
      <c r="H31" s="110"/>
      <c r="I31" s="110"/>
      <c r="J31" s="112"/>
      <c r="K31" s="112"/>
      <c r="L31" s="112"/>
      <c r="M31" s="112"/>
      <c r="N31" s="117" t="s">
        <v>641</v>
      </c>
      <c r="O31" s="112">
        <v>22000</v>
      </c>
      <c r="P31" s="112">
        <v>75</v>
      </c>
      <c r="Q31" s="112">
        <v>32</v>
      </c>
      <c r="R31" s="112">
        <v>3190</v>
      </c>
      <c r="S31" s="110"/>
      <c r="T31" s="112"/>
      <c r="U31" s="112"/>
      <c r="V31" s="110" t="s">
        <v>638</v>
      </c>
      <c r="W31" s="110"/>
      <c r="X31" s="58"/>
      <c r="Y31" s="95" t="s">
        <v>639</v>
      </c>
      <c r="Z31" s="4"/>
      <c r="AA31" s="4"/>
      <c r="AB31" s="4"/>
      <c r="AC31" s="4"/>
      <c r="AD31" s="4"/>
      <c r="AE31" s="4"/>
      <c r="AF31" s="4"/>
    </row>
    <row r="32" spans="1:32" ht="22.5" customHeight="1">
      <c r="A32" s="4"/>
      <c r="B32" s="69" t="s">
        <v>642</v>
      </c>
      <c r="C32" s="70" t="s">
        <v>544</v>
      </c>
      <c r="D32" s="71">
        <v>785714</v>
      </c>
      <c r="E32" s="60">
        <v>46005</v>
      </c>
      <c r="F32" s="106"/>
      <c r="G32" s="82"/>
      <c r="H32" s="73"/>
      <c r="I32" s="73"/>
      <c r="J32" s="76"/>
      <c r="K32" s="76"/>
      <c r="L32" s="76"/>
      <c r="M32" s="76"/>
      <c r="N32" s="115" t="s">
        <v>643</v>
      </c>
      <c r="O32" s="76">
        <v>36000</v>
      </c>
      <c r="P32" s="76">
        <v>94</v>
      </c>
      <c r="Q32" s="76">
        <v>7</v>
      </c>
      <c r="R32" s="76">
        <v>19000</v>
      </c>
      <c r="S32" s="73"/>
      <c r="T32" s="76"/>
      <c r="U32" s="76"/>
      <c r="V32" s="110" t="s">
        <v>638</v>
      </c>
      <c r="W32" s="73"/>
      <c r="X32" s="58"/>
      <c r="Y32" s="95" t="s">
        <v>639</v>
      </c>
      <c r="Z32" s="4"/>
      <c r="AA32" s="4"/>
      <c r="AB32" s="4"/>
      <c r="AC32" s="4"/>
      <c r="AD32" s="4"/>
      <c r="AE32" s="4"/>
      <c r="AF32" s="4"/>
    </row>
    <row r="33" spans="1:34" ht="22.5" customHeight="1">
      <c r="A33" s="4"/>
      <c r="B33" s="109" t="s">
        <v>644</v>
      </c>
      <c r="C33" s="116" t="s">
        <v>544</v>
      </c>
      <c r="D33" s="111">
        <v>785714</v>
      </c>
      <c r="E33" s="60">
        <v>46005</v>
      </c>
      <c r="F33" s="104"/>
      <c r="G33" s="82"/>
      <c r="H33" s="110"/>
      <c r="I33" s="110"/>
      <c r="J33" s="112"/>
      <c r="K33" s="112"/>
      <c r="L33" s="112"/>
      <c r="M33" s="112"/>
      <c r="N33" s="117" t="s">
        <v>645</v>
      </c>
      <c r="O33" s="112">
        <v>2314</v>
      </c>
      <c r="P33" s="112">
        <v>22</v>
      </c>
      <c r="Q33" s="112">
        <v>16</v>
      </c>
      <c r="R33" s="112">
        <v>32000</v>
      </c>
      <c r="S33" s="110"/>
      <c r="T33" s="112"/>
      <c r="U33" s="112"/>
      <c r="V33" s="110" t="s">
        <v>638</v>
      </c>
      <c r="W33" s="110"/>
      <c r="X33" s="58"/>
      <c r="Y33" s="95" t="s">
        <v>639</v>
      </c>
      <c r="Z33" s="4"/>
      <c r="AA33" s="4"/>
      <c r="AB33" s="4"/>
      <c r="AC33" s="4"/>
      <c r="AD33" s="4"/>
      <c r="AE33" s="4"/>
      <c r="AF33" s="4"/>
    </row>
    <row r="34" spans="1:34" ht="22.5" customHeight="1">
      <c r="A34" s="4"/>
      <c r="B34" s="69" t="s">
        <v>646</v>
      </c>
      <c r="C34" s="70" t="s">
        <v>544</v>
      </c>
      <c r="D34" s="71">
        <v>785714</v>
      </c>
      <c r="E34" s="60">
        <v>46005</v>
      </c>
      <c r="F34" s="106"/>
      <c r="G34" s="82"/>
      <c r="H34" s="73"/>
      <c r="I34" s="73"/>
      <c r="J34" s="76"/>
      <c r="K34" s="76"/>
      <c r="L34" s="76"/>
      <c r="M34" s="76"/>
      <c r="N34" s="118" t="s">
        <v>647</v>
      </c>
      <c r="O34" s="76">
        <v>69000</v>
      </c>
      <c r="P34" s="76">
        <v>266</v>
      </c>
      <c r="Q34" s="76">
        <v>22</v>
      </c>
      <c r="R34" s="76">
        <v>25000</v>
      </c>
      <c r="S34" s="73"/>
      <c r="T34" s="76"/>
      <c r="U34" s="76"/>
      <c r="V34" s="119" t="s">
        <v>638</v>
      </c>
      <c r="W34" s="73"/>
      <c r="X34" s="58"/>
      <c r="Y34" s="120" t="s">
        <v>639</v>
      </c>
      <c r="Z34" s="4"/>
      <c r="AA34" s="4"/>
      <c r="AB34" s="4"/>
      <c r="AC34" s="4"/>
      <c r="AD34" s="4"/>
      <c r="AE34" s="4"/>
      <c r="AF34" s="4"/>
    </row>
    <row r="35" spans="1:34" ht="22.5" customHeight="1">
      <c r="A35" s="4"/>
      <c r="B35" s="78" t="s">
        <v>648</v>
      </c>
      <c r="C35" s="79" t="s">
        <v>544</v>
      </c>
      <c r="D35" s="80">
        <v>785714</v>
      </c>
      <c r="E35" s="60">
        <v>46006</v>
      </c>
      <c r="F35" s="104"/>
      <c r="G35" s="82"/>
      <c r="H35" s="81"/>
      <c r="I35" s="81"/>
      <c r="J35" s="83"/>
      <c r="K35" s="83"/>
      <c r="L35" s="83"/>
      <c r="M35" s="83"/>
      <c r="N35" s="121" t="s">
        <v>649</v>
      </c>
      <c r="O35" s="83">
        <v>12000</v>
      </c>
      <c r="P35" s="83">
        <v>83</v>
      </c>
      <c r="Q35" s="83">
        <v>16</v>
      </c>
      <c r="R35" s="83">
        <v>36000</v>
      </c>
      <c r="S35" s="81"/>
      <c r="T35" s="83"/>
      <c r="U35" s="83"/>
      <c r="V35" s="122" t="s">
        <v>638</v>
      </c>
      <c r="W35" s="81"/>
      <c r="X35" s="58"/>
      <c r="Y35" s="123" t="s">
        <v>639</v>
      </c>
      <c r="Z35" s="4"/>
      <c r="AA35" s="4"/>
      <c r="AB35" s="4"/>
      <c r="AC35" s="4"/>
      <c r="AD35" s="4"/>
      <c r="AE35" s="4"/>
      <c r="AF35" s="4"/>
    </row>
    <row r="36" spans="1:34" ht="22.5" customHeight="1">
      <c r="A36" s="4"/>
      <c r="B36" s="87" t="s">
        <v>650</v>
      </c>
      <c r="C36" s="124" t="s">
        <v>544</v>
      </c>
      <c r="D36" s="89">
        <v>785714</v>
      </c>
      <c r="E36" s="60">
        <v>46006</v>
      </c>
      <c r="F36" s="106"/>
      <c r="G36" s="82"/>
      <c r="H36" s="88"/>
      <c r="I36" s="88"/>
      <c r="J36" s="92"/>
      <c r="K36" s="92"/>
      <c r="L36" s="92"/>
      <c r="M36" s="92"/>
      <c r="N36" s="100" t="s">
        <v>651</v>
      </c>
      <c r="O36" s="92">
        <v>17000</v>
      </c>
      <c r="P36" s="92"/>
      <c r="Q36" s="92">
        <v>15</v>
      </c>
      <c r="R36" s="92">
        <v>68000</v>
      </c>
      <c r="S36" s="88"/>
      <c r="T36" s="92"/>
      <c r="U36" s="92"/>
      <c r="V36" s="119" t="s">
        <v>638</v>
      </c>
      <c r="W36" s="88"/>
      <c r="X36" s="58"/>
      <c r="Y36" s="120" t="s">
        <v>639</v>
      </c>
      <c r="Z36" s="4"/>
      <c r="AA36" s="4"/>
      <c r="AB36" s="4"/>
      <c r="AC36" s="4"/>
      <c r="AD36" s="4"/>
      <c r="AE36" s="4"/>
      <c r="AF36" s="4"/>
    </row>
    <row r="37" spans="1:34" ht="22.5" customHeight="1">
      <c r="A37" s="4"/>
      <c r="B37" s="109" t="s">
        <v>652</v>
      </c>
      <c r="C37" s="110" t="s">
        <v>552</v>
      </c>
      <c r="D37" s="111">
        <f>1150000*1.1</f>
        <v>1265000</v>
      </c>
      <c r="E37" s="106"/>
      <c r="F37" s="110"/>
      <c r="G37" s="110"/>
      <c r="H37" s="110"/>
      <c r="I37" s="112"/>
      <c r="J37" s="112"/>
      <c r="K37" s="112"/>
      <c r="L37" s="112"/>
      <c r="M37" s="112"/>
      <c r="N37" s="110"/>
      <c r="O37" s="112"/>
      <c r="P37" s="112"/>
      <c r="Q37" s="112"/>
      <c r="R37" s="112"/>
      <c r="S37" s="110"/>
      <c r="T37" s="112"/>
      <c r="U37" s="112"/>
      <c r="V37" s="110"/>
      <c r="W37" s="110"/>
      <c r="X37" s="58"/>
      <c r="Y37" s="125" t="s">
        <v>653</v>
      </c>
      <c r="Z37" s="4"/>
      <c r="AA37" s="4"/>
      <c r="AB37" s="4"/>
      <c r="AC37" s="4"/>
      <c r="AD37" s="4"/>
      <c r="AE37" s="4"/>
      <c r="AF37" s="4"/>
    </row>
    <row r="38" spans="1:34" ht="22.5" customHeight="1">
      <c r="A38" s="126" t="s">
        <v>654</v>
      </c>
      <c r="B38" s="87" t="s">
        <v>655</v>
      </c>
      <c r="C38" s="88" t="s">
        <v>544</v>
      </c>
      <c r="D38" s="89">
        <v>550000</v>
      </c>
      <c r="E38" s="60">
        <v>46023</v>
      </c>
      <c r="F38" s="81"/>
      <c r="G38" s="81"/>
      <c r="H38" s="91">
        <f>E38+30</f>
        <v>46053</v>
      </c>
      <c r="I38" s="89"/>
      <c r="J38" s="83"/>
      <c r="K38" s="83"/>
      <c r="L38" s="83"/>
      <c r="M38" s="83"/>
      <c r="N38" s="127" t="s">
        <v>656</v>
      </c>
      <c r="O38" s="83">
        <v>95000</v>
      </c>
      <c r="P38" s="83">
        <v>130</v>
      </c>
      <c r="Q38" s="83">
        <v>10</v>
      </c>
      <c r="R38" s="83">
        <v>11000</v>
      </c>
      <c r="S38" s="81"/>
      <c r="T38" s="83"/>
      <c r="U38" s="83"/>
      <c r="V38" s="122" t="s">
        <v>638</v>
      </c>
      <c r="W38" s="81" t="s">
        <v>542</v>
      </c>
      <c r="X38" s="58" t="s">
        <v>657</v>
      </c>
      <c r="Y38" s="123" t="s">
        <v>658</v>
      </c>
    </row>
    <row r="39" spans="1:34" ht="22.5" customHeight="1">
      <c r="B39" s="87" t="s">
        <v>1</v>
      </c>
      <c r="C39" s="124" t="s">
        <v>544</v>
      </c>
      <c r="D39" s="89">
        <v>550000</v>
      </c>
      <c r="E39" s="60">
        <v>46025</v>
      </c>
      <c r="F39" s="88"/>
      <c r="G39" s="88"/>
      <c r="H39" s="88"/>
      <c r="I39" s="88"/>
      <c r="J39" s="92"/>
      <c r="K39" s="92"/>
      <c r="L39" s="92"/>
      <c r="M39" s="92"/>
      <c r="N39" s="100" t="s">
        <v>659</v>
      </c>
      <c r="O39" s="92">
        <v>16000</v>
      </c>
      <c r="P39" s="92">
        <v>333</v>
      </c>
      <c r="Q39" s="92">
        <v>53</v>
      </c>
      <c r="R39" s="92">
        <v>9538</v>
      </c>
      <c r="S39" s="88"/>
      <c r="T39" s="92"/>
      <c r="U39" s="83"/>
      <c r="V39" s="122" t="s">
        <v>638</v>
      </c>
      <c r="W39" s="81" t="s">
        <v>542</v>
      </c>
      <c r="X39" s="58" t="s">
        <v>657</v>
      </c>
      <c r="Y39" s="123" t="s">
        <v>658</v>
      </c>
    </row>
    <row r="40" spans="1:34" ht="22.5" customHeight="1">
      <c r="B40" s="58" t="s">
        <v>2</v>
      </c>
      <c r="C40" s="58" t="s">
        <v>544</v>
      </c>
      <c r="D40" s="89">
        <v>550000</v>
      </c>
      <c r="E40" s="60">
        <v>46027</v>
      </c>
      <c r="F40" s="58"/>
      <c r="G40" s="58"/>
      <c r="J40" s="59"/>
      <c r="K40" s="59"/>
      <c r="L40" s="59"/>
      <c r="M40" s="59"/>
      <c r="N40" s="67" t="s">
        <v>660</v>
      </c>
      <c r="O40" s="59">
        <v>20000</v>
      </c>
      <c r="P40" s="59">
        <v>55</v>
      </c>
      <c r="Q40" s="59">
        <v>6</v>
      </c>
      <c r="R40" s="59">
        <v>10000</v>
      </c>
      <c r="S40" s="58"/>
      <c r="T40" s="59"/>
      <c r="U40" s="83"/>
      <c r="V40" s="122" t="s">
        <v>638</v>
      </c>
      <c r="W40" s="81" t="s">
        <v>542</v>
      </c>
      <c r="X40" s="58" t="s">
        <v>657</v>
      </c>
      <c r="Y40" s="123" t="s">
        <v>658</v>
      </c>
    </row>
    <row r="41" spans="1:34" ht="22.5" customHeight="1">
      <c r="B41" s="78" t="s">
        <v>4</v>
      </c>
      <c r="C41" s="79" t="s">
        <v>544</v>
      </c>
      <c r="D41" s="89">
        <v>550000</v>
      </c>
      <c r="E41" s="60">
        <v>46028</v>
      </c>
      <c r="F41" s="81"/>
      <c r="G41" s="81"/>
      <c r="H41" s="81"/>
      <c r="I41" s="81"/>
      <c r="J41" s="83"/>
      <c r="K41" s="83"/>
      <c r="L41" s="83"/>
      <c r="M41" s="83"/>
      <c r="N41" s="97" t="s">
        <v>661</v>
      </c>
      <c r="O41" s="83">
        <v>12000</v>
      </c>
      <c r="P41" s="83">
        <v>40</v>
      </c>
      <c r="Q41" s="83">
        <v>2</v>
      </c>
      <c r="R41" s="83">
        <v>10000</v>
      </c>
      <c r="S41" s="81"/>
      <c r="T41" s="83"/>
      <c r="U41" s="83"/>
      <c r="V41" s="122" t="s">
        <v>638</v>
      </c>
      <c r="W41" s="81" t="s">
        <v>542</v>
      </c>
      <c r="X41" s="58" t="s">
        <v>657</v>
      </c>
      <c r="Y41" s="123" t="s">
        <v>658</v>
      </c>
    </row>
    <row r="42" spans="1:34" ht="22.5" customHeight="1">
      <c r="B42" s="58" t="s">
        <v>3</v>
      </c>
      <c r="C42" s="58" t="s">
        <v>544</v>
      </c>
      <c r="D42" s="89">
        <v>550000</v>
      </c>
      <c r="E42" s="60">
        <v>46030</v>
      </c>
      <c r="F42" s="58"/>
      <c r="G42" s="58"/>
      <c r="J42" s="59"/>
      <c r="K42" s="59"/>
      <c r="L42" s="59"/>
      <c r="M42" s="59"/>
      <c r="N42" s="67" t="s">
        <v>662</v>
      </c>
      <c r="O42" s="59">
        <v>8328</v>
      </c>
      <c r="P42" s="59">
        <v>47</v>
      </c>
      <c r="Q42" s="59">
        <v>11</v>
      </c>
      <c r="R42" s="59">
        <v>28000</v>
      </c>
      <c r="S42" s="58"/>
      <c r="T42" s="59"/>
      <c r="U42" s="83"/>
      <c r="V42" s="122" t="s">
        <v>638</v>
      </c>
      <c r="W42" s="81" t="s">
        <v>542</v>
      </c>
      <c r="X42" s="58" t="s">
        <v>657</v>
      </c>
      <c r="Y42" s="123" t="s">
        <v>658</v>
      </c>
    </row>
    <row r="43" spans="1:34" ht="22.5" customHeight="1">
      <c r="B43" s="58" t="s">
        <v>663</v>
      </c>
      <c r="C43" s="58" t="s">
        <v>544</v>
      </c>
      <c r="D43" s="89">
        <v>550000</v>
      </c>
      <c r="E43" s="60">
        <v>46030</v>
      </c>
      <c r="F43" s="58"/>
      <c r="G43" s="58"/>
      <c r="J43" s="59"/>
      <c r="K43" s="59"/>
      <c r="L43" s="59"/>
      <c r="M43" s="59"/>
      <c r="N43" s="103" t="s">
        <v>664</v>
      </c>
      <c r="O43" s="59">
        <v>14000</v>
      </c>
      <c r="P43" s="59">
        <v>23</v>
      </c>
      <c r="Q43" s="59">
        <v>3</v>
      </c>
      <c r="R43" s="59">
        <v>33000</v>
      </c>
      <c r="S43" s="58"/>
      <c r="T43" s="59"/>
      <c r="U43" s="83"/>
      <c r="V43" s="122" t="s">
        <v>638</v>
      </c>
      <c r="W43" s="81" t="s">
        <v>542</v>
      </c>
      <c r="X43" s="58" t="s">
        <v>657</v>
      </c>
      <c r="Y43" s="123" t="s">
        <v>658</v>
      </c>
    </row>
    <row r="44" spans="1:34" ht="22.5" customHeight="1">
      <c r="B44" s="58" t="s">
        <v>665</v>
      </c>
      <c r="C44" s="58" t="s">
        <v>544</v>
      </c>
      <c r="D44" s="89">
        <v>550000</v>
      </c>
      <c r="E44" s="60">
        <v>46030</v>
      </c>
      <c r="F44" s="58"/>
      <c r="G44" s="58"/>
      <c r="J44" s="59"/>
      <c r="K44" s="59"/>
      <c r="L44" s="59"/>
      <c r="M44" s="59"/>
      <c r="N44" s="67" t="s">
        <v>666</v>
      </c>
      <c r="O44" s="59">
        <v>9260</v>
      </c>
      <c r="P44" s="59">
        <v>45</v>
      </c>
      <c r="Q44" s="59">
        <v>0</v>
      </c>
      <c r="R44" s="59">
        <v>37000</v>
      </c>
      <c r="S44" s="58"/>
      <c r="T44" s="59"/>
      <c r="U44" s="83"/>
      <c r="V44" s="122" t="s">
        <v>638</v>
      </c>
      <c r="W44" s="81" t="s">
        <v>542</v>
      </c>
      <c r="X44" s="58" t="s">
        <v>657</v>
      </c>
      <c r="Y44" s="123" t="s">
        <v>658</v>
      </c>
    </row>
    <row r="45" spans="1:34" ht="22.5" customHeight="1">
      <c r="B45" s="58" t="s">
        <v>667</v>
      </c>
      <c r="C45" s="58" t="s">
        <v>544</v>
      </c>
      <c r="D45" s="89">
        <v>550000</v>
      </c>
      <c r="E45" s="60">
        <v>46031</v>
      </c>
      <c r="F45" s="58"/>
      <c r="G45" s="58"/>
      <c r="J45" s="59"/>
      <c r="K45" s="59"/>
      <c r="L45" s="59"/>
      <c r="M45" s="59"/>
      <c r="N45" s="67" t="s">
        <v>668</v>
      </c>
      <c r="O45" s="59">
        <v>44000</v>
      </c>
      <c r="P45" s="59">
        <v>228</v>
      </c>
      <c r="Q45" s="59">
        <v>5</v>
      </c>
      <c r="R45" s="59">
        <v>39000</v>
      </c>
      <c r="S45" s="58"/>
      <c r="T45" s="59"/>
      <c r="U45" s="59"/>
      <c r="V45" s="122" t="s">
        <v>638</v>
      </c>
      <c r="W45" s="81" t="s">
        <v>542</v>
      </c>
      <c r="X45" s="58" t="s">
        <v>657</v>
      </c>
      <c r="Y45" s="123" t="s">
        <v>658</v>
      </c>
    </row>
    <row r="46" spans="1:34" ht="22.5" customHeight="1">
      <c r="A46" s="4"/>
      <c r="B46" s="69" t="s">
        <v>669</v>
      </c>
      <c r="C46" s="70" t="s">
        <v>544</v>
      </c>
      <c r="D46" s="89">
        <v>550000</v>
      </c>
      <c r="E46" s="128">
        <v>46034</v>
      </c>
      <c r="F46" s="73"/>
      <c r="G46" s="73"/>
      <c r="H46" s="73"/>
      <c r="I46" s="73"/>
      <c r="J46" s="76"/>
      <c r="K46" s="76"/>
      <c r="L46" s="76"/>
      <c r="M46" s="76"/>
      <c r="N46" s="129" t="s">
        <v>670</v>
      </c>
      <c r="O46" s="76">
        <v>6179</v>
      </c>
      <c r="P46" s="76">
        <v>47</v>
      </c>
      <c r="Q46" s="76">
        <v>19</v>
      </c>
      <c r="R46" s="71">
        <v>17000</v>
      </c>
      <c r="S46" s="73"/>
      <c r="T46" s="76"/>
      <c r="U46" s="76"/>
      <c r="V46" s="119" t="s">
        <v>638</v>
      </c>
      <c r="W46" s="130" t="s">
        <v>542</v>
      </c>
      <c r="X46" s="70" t="s">
        <v>657</v>
      </c>
      <c r="Y46" s="131" t="s">
        <v>658</v>
      </c>
      <c r="Z46" s="4"/>
      <c r="AA46" s="4"/>
      <c r="AB46" s="4"/>
      <c r="AC46" s="4"/>
      <c r="AD46" s="4"/>
      <c r="AE46" s="4"/>
      <c r="AF46" s="4"/>
      <c r="AG46" s="4"/>
      <c r="AH46" s="4"/>
    </row>
    <row r="47" spans="1:34" ht="22.5" customHeight="1">
      <c r="A47" s="4"/>
      <c r="B47" s="109" t="s">
        <v>671</v>
      </c>
      <c r="C47" s="116" t="s">
        <v>544</v>
      </c>
      <c r="D47" s="111">
        <v>550000</v>
      </c>
      <c r="E47" s="132">
        <v>46034</v>
      </c>
      <c r="F47" s="110"/>
      <c r="G47" s="110"/>
      <c r="H47" s="110"/>
      <c r="I47" s="110"/>
      <c r="J47" s="112"/>
      <c r="K47" s="112"/>
      <c r="L47" s="112"/>
      <c r="M47" s="112"/>
      <c r="N47" s="133" t="s">
        <v>672</v>
      </c>
      <c r="O47" s="112">
        <v>194000</v>
      </c>
      <c r="P47" s="112">
        <v>456</v>
      </c>
      <c r="Q47" s="112">
        <v>25</v>
      </c>
      <c r="R47" s="111">
        <v>8264</v>
      </c>
      <c r="S47" s="110"/>
      <c r="T47" s="112"/>
      <c r="U47" s="112"/>
      <c r="V47" s="119" t="s">
        <v>638</v>
      </c>
      <c r="W47" s="130" t="s">
        <v>542</v>
      </c>
      <c r="X47" s="70" t="s">
        <v>657</v>
      </c>
      <c r="Y47" s="131" t="s">
        <v>658</v>
      </c>
      <c r="Z47" s="4"/>
      <c r="AA47" s="4"/>
      <c r="AB47" s="4"/>
      <c r="AC47" s="4"/>
      <c r="AD47" s="4"/>
      <c r="AE47" s="4"/>
      <c r="AF47" s="4"/>
      <c r="AG47" s="4"/>
      <c r="AH47" s="4"/>
    </row>
    <row r="48" spans="1:34" ht="22.5" customHeight="1">
      <c r="B48" s="58" t="s">
        <v>673</v>
      </c>
      <c r="C48" s="116" t="s">
        <v>544</v>
      </c>
      <c r="D48" s="111">
        <v>550000</v>
      </c>
      <c r="E48" s="132">
        <v>46035</v>
      </c>
      <c r="F48" s="58"/>
      <c r="G48" s="58"/>
      <c r="J48" s="59"/>
      <c r="K48" s="59"/>
      <c r="L48" s="59"/>
      <c r="M48" s="59"/>
      <c r="N48" s="67" t="s">
        <v>674</v>
      </c>
      <c r="O48" s="59">
        <v>11000</v>
      </c>
      <c r="P48" s="59">
        <v>55</v>
      </c>
      <c r="Q48" s="59">
        <v>2</v>
      </c>
      <c r="R48" s="59">
        <v>71000</v>
      </c>
      <c r="S48" s="58"/>
      <c r="T48" s="59"/>
      <c r="U48" s="59"/>
      <c r="V48" s="119" t="s">
        <v>638</v>
      </c>
      <c r="W48" s="130" t="s">
        <v>542</v>
      </c>
      <c r="X48" s="70" t="s">
        <v>657</v>
      </c>
      <c r="Y48" s="131" t="s">
        <v>658</v>
      </c>
    </row>
    <row r="49" spans="1:25" ht="22.5" customHeight="1">
      <c r="B49" s="58" t="s">
        <v>675</v>
      </c>
      <c r="C49" s="116" t="s">
        <v>544</v>
      </c>
      <c r="D49" s="111">
        <v>550000</v>
      </c>
      <c r="E49" s="132">
        <v>46035</v>
      </c>
      <c r="F49" s="58"/>
      <c r="G49" s="58"/>
      <c r="J49" s="59"/>
      <c r="K49" s="59"/>
      <c r="L49" s="59"/>
      <c r="M49" s="59"/>
      <c r="N49" s="67" t="s">
        <v>676</v>
      </c>
      <c r="O49" s="59">
        <v>17000</v>
      </c>
      <c r="P49" s="59">
        <v>65</v>
      </c>
      <c r="Q49" s="59">
        <v>27</v>
      </c>
      <c r="R49" s="59">
        <v>9450</v>
      </c>
      <c r="S49" s="58"/>
      <c r="T49" s="59"/>
      <c r="U49" s="59"/>
      <c r="V49" s="119" t="s">
        <v>638</v>
      </c>
      <c r="W49" s="130" t="s">
        <v>542</v>
      </c>
      <c r="X49" s="70" t="s">
        <v>657</v>
      </c>
      <c r="Y49" s="131" t="s">
        <v>658</v>
      </c>
    </row>
    <row r="50" spans="1:25" ht="22.5" customHeight="1">
      <c r="B50" s="58" t="s">
        <v>677</v>
      </c>
      <c r="C50" s="116" t="s">
        <v>544</v>
      </c>
      <c r="D50" s="111">
        <v>550000</v>
      </c>
      <c r="E50" s="132">
        <v>46035</v>
      </c>
      <c r="F50" s="58"/>
      <c r="G50" s="58"/>
      <c r="J50" s="59"/>
      <c r="K50" s="59"/>
      <c r="L50" s="59"/>
      <c r="M50" s="59"/>
      <c r="N50" s="67" t="s">
        <v>678</v>
      </c>
      <c r="O50" s="59">
        <v>11000</v>
      </c>
      <c r="P50" s="59">
        <v>241</v>
      </c>
      <c r="Q50" s="59">
        <v>58</v>
      </c>
      <c r="R50" s="59">
        <v>3113</v>
      </c>
      <c r="S50" s="58"/>
      <c r="T50" s="59"/>
      <c r="U50" s="59"/>
      <c r="V50" s="119" t="s">
        <v>638</v>
      </c>
      <c r="W50" s="130" t="s">
        <v>542</v>
      </c>
      <c r="X50" s="70" t="s">
        <v>657</v>
      </c>
      <c r="Y50" s="131" t="s">
        <v>658</v>
      </c>
    </row>
    <row r="51" spans="1:25" ht="22.5" customHeight="1">
      <c r="B51" s="58" t="s">
        <v>679</v>
      </c>
      <c r="C51" s="116" t="s">
        <v>544</v>
      </c>
      <c r="D51" s="111">
        <v>550000</v>
      </c>
      <c r="E51" s="132">
        <v>46035</v>
      </c>
      <c r="F51" s="58"/>
      <c r="G51" s="58"/>
      <c r="J51" s="59"/>
      <c r="K51" s="59"/>
      <c r="L51" s="59"/>
      <c r="M51" s="59"/>
      <c r="N51" s="67" t="s">
        <v>680</v>
      </c>
      <c r="O51" s="59">
        <v>11000</v>
      </c>
      <c r="P51" s="59">
        <v>69</v>
      </c>
      <c r="Q51" s="59">
        <v>15</v>
      </c>
      <c r="R51" s="59">
        <v>6630</v>
      </c>
      <c r="S51" s="58"/>
      <c r="T51" s="59"/>
      <c r="U51" s="59"/>
      <c r="V51" s="119" t="s">
        <v>638</v>
      </c>
      <c r="W51" s="130" t="s">
        <v>542</v>
      </c>
      <c r="X51" s="70" t="s">
        <v>657</v>
      </c>
      <c r="Y51" s="131" t="s">
        <v>658</v>
      </c>
    </row>
    <row r="52" spans="1:25" ht="22.5" customHeight="1">
      <c r="B52" s="58" t="s">
        <v>681</v>
      </c>
      <c r="C52" s="116" t="s">
        <v>544</v>
      </c>
      <c r="D52" s="111">
        <v>550000</v>
      </c>
      <c r="E52" s="132">
        <v>46036</v>
      </c>
      <c r="F52" s="58"/>
      <c r="G52" s="58"/>
      <c r="J52" s="59"/>
      <c r="K52" s="59"/>
      <c r="L52" s="59"/>
      <c r="M52" s="59"/>
      <c r="N52" s="67" t="s">
        <v>682</v>
      </c>
      <c r="O52" s="59">
        <v>2926</v>
      </c>
      <c r="P52" s="59">
        <v>55</v>
      </c>
      <c r="Q52" s="59">
        <v>9</v>
      </c>
      <c r="R52" s="59">
        <v>736</v>
      </c>
      <c r="S52" s="58"/>
      <c r="T52" s="59"/>
      <c r="U52" s="59"/>
      <c r="V52" s="119" t="s">
        <v>638</v>
      </c>
      <c r="W52" s="130" t="s">
        <v>542</v>
      </c>
      <c r="X52" s="70" t="s">
        <v>657</v>
      </c>
      <c r="Y52" s="131" t="s">
        <v>658</v>
      </c>
    </row>
    <row r="53" spans="1:25" ht="22.5" customHeight="1">
      <c r="B53" s="109" t="s">
        <v>683</v>
      </c>
      <c r="C53" s="116" t="s">
        <v>544</v>
      </c>
      <c r="D53" s="111">
        <v>550000</v>
      </c>
      <c r="E53" s="132">
        <v>46036</v>
      </c>
      <c r="F53" s="110"/>
      <c r="G53" s="110"/>
      <c r="H53" s="110"/>
      <c r="I53" s="110"/>
      <c r="J53" s="112"/>
      <c r="K53" s="112"/>
      <c r="L53" s="112"/>
      <c r="M53" s="112"/>
      <c r="N53" s="117" t="s">
        <v>684</v>
      </c>
      <c r="O53" s="112">
        <v>6086</v>
      </c>
      <c r="P53" s="112">
        <v>49</v>
      </c>
      <c r="Q53" s="112">
        <v>20</v>
      </c>
      <c r="R53" s="112">
        <v>30000</v>
      </c>
      <c r="S53" s="110"/>
      <c r="T53" s="112"/>
      <c r="U53" s="59"/>
      <c r="V53" s="119" t="s">
        <v>638</v>
      </c>
      <c r="W53" s="130" t="s">
        <v>542</v>
      </c>
      <c r="X53" s="70" t="s">
        <v>657</v>
      </c>
      <c r="Y53" s="131" t="s">
        <v>658</v>
      </c>
    </row>
    <row r="54" spans="1:25" ht="22.5" customHeight="1">
      <c r="B54" s="109" t="s">
        <v>685</v>
      </c>
      <c r="C54" s="116" t="s">
        <v>544</v>
      </c>
      <c r="D54" s="111">
        <v>550000</v>
      </c>
      <c r="E54" s="132">
        <v>46037</v>
      </c>
      <c r="F54" s="110"/>
      <c r="G54" s="110"/>
      <c r="H54" s="110"/>
      <c r="I54" s="110"/>
      <c r="J54" s="112"/>
      <c r="K54" s="112"/>
      <c r="L54" s="112"/>
      <c r="M54" s="112"/>
      <c r="N54" s="117" t="s">
        <v>686</v>
      </c>
      <c r="O54" s="112">
        <v>28000</v>
      </c>
      <c r="P54" s="112">
        <v>74</v>
      </c>
      <c r="Q54" s="112">
        <v>9</v>
      </c>
      <c r="R54" s="112">
        <v>3982</v>
      </c>
      <c r="S54" s="110"/>
      <c r="T54" s="112"/>
      <c r="U54" s="59"/>
      <c r="V54" s="119" t="s">
        <v>638</v>
      </c>
      <c r="W54" s="130" t="s">
        <v>542</v>
      </c>
      <c r="X54" s="70" t="s">
        <v>657</v>
      </c>
      <c r="Y54" s="131" t="s">
        <v>658</v>
      </c>
    </row>
    <row r="55" spans="1:25" ht="22.5" customHeight="1">
      <c r="B55" s="69" t="s">
        <v>687</v>
      </c>
      <c r="C55" s="124" t="s">
        <v>544</v>
      </c>
      <c r="D55" s="89">
        <v>550000</v>
      </c>
      <c r="E55" s="132">
        <v>46037</v>
      </c>
      <c r="F55" s="73"/>
      <c r="G55" s="73"/>
      <c r="H55" s="73"/>
      <c r="I55" s="73"/>
      <c r="J55" s="76"/>
      <c r="K55" s="76"/>
      <c r="L55" s="76"/>
      <c r="M55" s="76"/>
      <c r="N55" s="118" t="s">
        <v>688</v>
      </c>
      <c r="O55" s="76">
        <v>7021</v>
      </c>
      <c r="P55" s="76">
        <v>32</v>
      </c>
      <c r="Q55" s="76">
        <v>12</v>
      </c>
      <c r="R55" s="76">
        <v>17000</v>
      </c>
      <c r="S55" s="73"/>
      <c r="T55" s="76"/>
      <c r="U55" s="59"/>
      <c r="V55" s="119" t="s">
        <v>638</v>
      </c>
      <c r="W55" s="130" t="s">
        <v>542</v>
      </c>
      <c r="X55" s="70" t="s">
        <v>657</v>
      </c>
      <c r="Y55" s="131" t="s">
        <v>658</v>
      </c>
    </row>
    <row r="56" spans="1:25" ht="22.5" customHeight="1">
      <c r="B56" s="69" t="s">
        <v>689</v>
      </c>
      <c r="C56" s="124" t="s">
        <v>544</v>
      </c>
      <c r="D56" s="89">
        <v>550000</v>
      </c>
      <c r="E56" s="132">
        <v>46038</v>
      </c>
      <c r="F56" s="73"/>
      <c r="G56" s="73"/>
      <c r="H56" s="73"/>
      <c r="I56" s="73"/>
      <c r="J56" s="76"/>
      <c r="K56" s="76"/>
      <c r="L56" s="76"/>
      <c r="M56" s="76"/>
      <c r="N56" s="118" t="s">
        <v>690</v>
      </c>
      <c r="O56" s="76">
        <v>8630</v>
      </c>
      <c r="P56" s="76">
        <v>29</v>
      </c>
      <c r="Q56" s="76">
        <v>3</v>
      </c>
      <c r="R56" s="76">
        <v>11000</v>
      </c>
      <c r="S56" s="73"/>
      <c r="T56" s="76"/>
      <c r="U56" s="59"/>
      <c r="V56" s="119" t="s">
        <v>638</v>
      </c>
      <c r="W56" s="130" t="s">
        <v>542</v>
      </c>
      <c r="X56" s="70" t="s">
        <v>657</v>
      </c>
      <c r="Y56" s="131" t="s">
        <v>658</v>
      </c>
    </row>
    <row r="57" spans="1:25" ht="22.5" customHeight="1">
      <c r="B57" s="69" t="s">
        <v>691</v>
      </c>
      <c r="C57" s="116" t="s">
        <v>544</v>
      </c>
      <c r="D57" s="111">
        <v>550000</v>
      </c>
      <c r="E57" s="132">
        <v>46038</v>
      </c>
      <c r="F57" s="73"/>
      <c r="G57" s="70"/>
      <c r="H57" s="73"/>
      <c r="I57" s="73"/>
      <c r="J57" s="59"/>
      <c r="K57" s="59"/>
      <c r="L57" s="59"/>
      <c r="M57" s="59"/>
      <c r="N57" s="67" t="s">
        <v>692</v>
      </c>
      <c r="O57" s="59">
        <v>8523</v>
      </c>
      <c r="P57" s="59">
        <v>30</v>
      </c>
      <c r="Q57" s="59">
        <v>5</v>
      </c>
      <c r="R57" s="59">
        <v>34000</v>
      </c>
      <c r="S57" s="58"/>
      <c r="T57" s="59"/>
      <c r="U57" s="59"/>
      <c r="V57" s="119" t="s">
        <v>638</v>
      </c>
      <c r="W57" s="130" t="s">
        <v>542</v>
      </c>
      <c r="X57" s="70" t="s">
        <v>657</v>
      </c>
      <c r="Y57" s="131" t="s">
        <v>658</v>
      </c>
    </row>
    <row r="58" spans="1:25" ht="22.5" customHeight="1">
      <c r="A58" s="126" t="s">
        <v>693</v>
      </c>
      <c r="B58" s="109" t="s">
        <v>694</v>
      </c>
      <c r="C58" s="116" t="s">
        <v>544</v>
      </c>
      <c r="D58" s="111">
        <v>748000</v>
      </c>
      <c r="E58" s="132">
        <v>46072</v>
      </c>
      <c r="F58" s="110"/>
      <c r="G58" s="110"/>
      <c r="H58" s="132">
        <f>E58+29</f>
        <v>46101</v>
      </c>
      <c r="I58" s="110"/>
      <c r="J58" s="112"/>
      <c r="K58" s="112"/>
      <c r="L58" s="112"/>
      <c r="M58" s="112"/>
      <c r="N58" s="117" t="s">
        <v>695</v>
      </c>
      <c r="O58" s="59">
        <v>18000</v>
      </c>
      <c r="P58" s="59">
        <v>84</v>
      </c>
      <c r="Q58" s="59">
        <v>6</v>
      </c>
      <c r="R58" s="59">
        <v>4141</v>
      </c>
      <c r="S58" s="110"/>
      <c r="T58" s="112"/>
      <c r="U58" s="112"/>
      <c r="V58" s="119" t="s">
        <v>638</v>
      </c>
      <c r="W58" s="130" t="s">
        <v>542</v>
      </c>
      <c r="X58" s="70" t="s">
        <v>657</v>
      </c>
      <c r="Y58" s="131" t="s">
        <v>658</v>
      </c>
    </row>
    <row r="59" spans="1:25" ht="22.5" customHeight="1">
      <c r="B59" s="69" t="s">
        <v>696</v>
      </c>
      <c r="C59" s="116" t="s">
        <v>544</v>
      </c>
      <c r="D59" s="111">
        <v>748000</v>
      </c>
      <c r="E59" s="132">
        <v>46072</v>
      </c>
      <c r="F59" s="73"/>
      <c r="G59" s="73"/>
      <c r="H59" s="73"/>
      <c r="I59" s="73"/>
      <c r="J59" s="76"/>
      <c r="K59" s="76"/>
      <c r="L59" s="76"/>
      <c r="M59" s="76"/>
      <c r="N59" s="118" t="s">
        <v>697</v>
      </c>
      <c r="O59" s="76">
        <v>19000</v>
      </c>
      <c r="P59" s="76">
        <v>82</v>
      </c>
      <c r="Q59" s="76">
        <v>3</v>
      </c>
      <c r="R59" s="76">
        <v>6423</v>
      </c>
      <c r="S59" s="73"/>
      <c r="T59" s="76"/>
      <c r="U59" s="76"/>
      <c r="V59" s="119" t="s">
        <v>638</v>
      </c>
      <c r="W59" s="130" t="s">
        <v>542</v>
      </c>
      <c r="X59" s="70" t="s">
        <v>657</v>
      </c>
      <c r="Y59" s="131" t="s">
        <v>658</v>
      </c>
    </row>
    <row r="60" spans="1:25" ht="22.5" customHeight="1">
      <c r="B60" s="58" t="s">
        <v>698</v>
      </c>
      <c r="C60" s="116" t="s">
        <v>544</v>
      </c>
      <c r="D60" s="111">
        <v>748000</v>
      </c>
      <c r="E60" s="132">
        <v>46073</v>
      </c>
      <c r="F60" s="58"/>
      <c r="G60" s="58"/>
      <c r="J60" s="59"/>
      <c r="K60" s="59"/>
      <c r="L60" s="59"/>
      <c r="M60" s="59"/>
      <c r="N60" s="67" t="s">
        <v>699</v>
      </c>
      <c r="O60" s="59">
        <v>25000</v>
      </c>
      <c r="P60" s="59">
        <v>1313</v>
      </c>
      <c r="Q60" s="59">
        <v>62</v>
      </c>
      <c r="R60" s="59">
        <v>140000</v>
      </c>
      <c r="S60" s="58"/>
      <c r="T60" s="59"/>
      <c r="U60" s="59"/>
      <c r="V60" s="119" t="s">
        <v>638</v>
      </c>
      <c r="W60" s="130" t="s">
        <v>542</v>
      </c>
      <c r="X60" s="70" t="s">
        <v>657</v>
      </c>
      <c r="Y60" s="131" t="s">
        <v>658</v>
      </c>
    </row>
    <row r="61" spans="1:25" ht="22.5" customHeight="1">
      <c r="B61" s="58" t="s">
        <v>700</v>
      </c>
      <c r="C61" s="116" t="s">
        <v>544</v>
      </c>
      <c r="D61" s="111">
        <v>748000</v>
      </c>
      <c r="E61" s="132">
        <v>46073</v>
      </c>
      <c r="F61" s="58"/>
      <c r="G61" s="58"/>
      <c r="J61" s="59"/>
      <c r="K61" s="59"/>
      <c r="L61" s="59"/>
      <c r="M61" s="59"/>
      <c r="N61" s="67" t="s">
        <v>701</v>
      </c>
      <c r="O61" s="59">
        <v>12000</v>
      </c>
      <c r="P61" s="59">
        <v>58</v>
      </c>
      <c r="Q61" s="59">
        <v>4</v>
      </c>
      <c r="R61" s="59">
        <v>3595</v>
      </c>
      <c r="S61" s="58"/>
      <c r="T61" s="59"/>
      <c r="U61" s="59"/>
      <c r="V61" s="119" t="s">
        <v>638</v>
      </c>
      <c r="W61" s="130" t="s">
        <v>542</v>
      </c>
      <c r="X61" s="70" t="s">
        <v>657</v>
      </c>
      <c r="Y61" s="131" t="s">
        <v>658</v>
      </c>
    </row>
    <row r="62" spans="1:25" ht="22.5" customHeight="1">
      <c r="B62" s="58" t="s">
        <v>702</v>
      </c>
      <c r="C62" s="116" t="s">
        <v>544</v>
      </c>
      <c r="D62" s="111">
        <v>748000</v>
      </c>
      <c r="E62" s="132">
        <v>46073</v>
      </c>
      <c r="F62" s="58"/>
      <c r="G62" s="58"/>
      <c r="J62" s="59"/>
      <c r="K62" s="59"/>
      <c r="L62" s="59"/>
      <c r="M62" s="59"/>
      <c r="N62" s="67" t="s">
        <v>703</v>
      </c>
      <c r="O62" s="59">
        <v>40000</v>
      </c>
      <c r="P62" s="59">
        <v>88</v>
      </c>
      <c r="Q62" s="59">
        <v>1</v>
      </c>
      <c r="R62" s="59">
        <v>8300</v>
      </c>
      <c r="S62" s="58"/>
      <c r="T62" s="59"/>
      <c r="U62" s="59"/>
      <c r="V62" s="119" t="s">
        <v>638</v>
      </c>
      <c r="W62" s="130" t="s">
        <v>542</v>
      </c>
      <c r="X62" s="70" t="s">
        <v>657</v>
      </c>
      <c r="Y62" s="131" t="s">
        <v>658</v>
      </c>
    </row>
    <row r="63" spans="1:25" ht="22.5" customHeight="1">
      <c r="A63" s="1" t="s">
        <v>704</v>
      </c>
      <c r="B63" s="134" t="s">
        <v>705</v>
      </c>
      <c r="C63" s="58" t="s">
        <v>544</v>
      </c>
      <c r="D63" s="59">
        <v>1000000</v>
      </c>
      <c r="E63" s="62">
        <v>46079</v>
      </c>
      <c r="F63" s="58"/>
      <c r="G63" s="58"/>
      <c r="J63" s="59"/>
      <c r="K63" s="59"/>
      <c r="L63" s="59"/>
      <c r="M63" s="59"/>
      <c r="N63" s="135" t="s">
        <v>706</v>
      </c>
      <c r="O63" s="59"/>
      <c r="P63" s="59"/>
      <c r="Q63" s="59"/>
      <c r="R63" s="59">
        <v>143000</v>
      </c>
      <c r="S63" s="58"/>
      <c r="T63" s="59"/>
      <c r="U63" s="59"/>
      <c r="V63" s="58" t="s">
        <v>541</v>
      </c>
      <c r="W63" s="58" t="s">
        <v>536</v>
      </c>
      <c r="X63" s="70" t="s">
        <v>657</v>
      </c>
      <c r="Y63" s="58" t="s">
        <v>707</v>
      </c>
    </row>
    <row r="64" spans="1:25" ht="22.5" customHeight="1">
      <c r="B64" s="134" t="s">
        <v>708</v>
      </c>
      <c r="C64" s="58" t="s">
        <v>544</v>
      </c>
      <c r="D64" s="59">
        <v>1000000</v>
      </c>
      <c r="E64" s="62">
        <v>46072</v>
      </c>
      <c r="F64" s="58"/>
      <c r="G64" s="58"/>
      <c r="J64" s="59"/>
      <c r="K64" s="59"/>
      <c r="L64" s="59"/>
      <c r="M64" s="59"/>
      <c r="N64" s="136" t="s">
        <v>709</v>
      </c>
      <c r="O64" s="59"/>
      <c r="P64" s="59"/>
      <c r="Q64" s="59"/>
      <c r="R64" s="59">
        <v>78000</v>
      </c>
      <c r="S64" s="58"/>
      <c r="T64" s="59"/>
      <c r="U64" s="59"/>
      <c r="V64" s="58" t="s">
        <v>541</v>
      </c>
      <c r="W64" s="58" t="s">
        <v>536</v>
      </c>
      <c r="X64" s="70" t="s">
        <v>657</v>
      </c>
      <c r="Y64" s="58" t="s">
        <v>707</v>
      </c>
    </row>
    <row r="65" spans="1:25" ht="22.5" customHeight="1">
      <c r="B65" s="134" t="s">
        <v>710</v>
      </c>
      <c r="C65" s="58" t="s">
        <v>544</v>
      </c>
      <c r="D65" s="59">
        <v>1000000</v>
      </c>
      <c r="E65" s="62">
        <v>46079</v>
      </c>
      <c r="F65" s="58"/>
      <c r="G65" s="58"/>
      <c r="J65" s="59"/>
      <c r="K65" s="59"/>
      <c r="L65" s="59"/>
      <c r="M65" s="59"/>
      <c r="N65" s="135" t="s">
        <v>711</v>
      </c>
      <c r="O65" s="59"/>
      <c r="P65" s="59"/>
      <c r="Q65" s="59"/>
      <c r="R65" s="59">
        <v>45000</v>
      </c>
      <c r="S65" s="58"/>
      <c r="T65" s="59"/>
      <c r="U65" s="59"/>
      <c r="V65" s="58" t="s">
        <v>541</v>
      </c>
      <c r="W65" s="58" t="s">
        <v>536</v>
      </c>
      <c r="X65" s="70" t="s">
        <v>657</v>
      </c>
      <c r="Y65" s="58" t="s">
        <v>707</v>
      </c>
    </row>
    <row r="66" spans="1:25" ht="22.5" customHeight="1">
      <c r="B66" s="134" t="s">
        <v>712</v>
      </c>
      <c r="C66" s="58" t="s">
        <v>544</v>
      </c>
      <c r="D66" s="59">
        <v>1000000</v>
      </c>
      <c r="E66" s="62">
        <v>46079</v>
      </c>
      <c r="F66" s="58"/>
      <c r="G66" s="58"/>
      <c r="J66" s="59"/>
      <c r="K66" s="59"/>
      <c r="L66" s="59"/>
      <c r="M66" s="59"/>
      <c r="N66" s="135" t="s">
        <v>713</v>
      </c>
      <c r="O66" s="59"/>
      <c r="P66" s="59"/>
      <c r="Q66" s="59"/>
      <c r="R66" s="59">
        <v>76000</v>
      </c>
      <c r="S66" s="58"/>
      <c r="T66" s="59"/>
      <c r="U66" s="59"/>
      <c r="V66" s="58" t="s">
        <v>541</v>
      </c>
      <c r="W66" s="58" t="s">
        <v>536</v>
      </c>
      <c r="X66" s="70" t="s">
        <v>657</v>
      </c>
      <c r="Y66" s="58" t="s">
        <v>707</v>
      </c>
    </row>
    <row r="67" spans="1:25" ht="22.5" customHeight="1">
      <c r="B67" s="134" t="s">
        <v>714</v>
      </c>
      <c r="C67" s="58" t="s">
        <v>544</v>
      </c>
      <c r="D67" s="59">
        <v>1000000</v>
      </c>
      <c r="E67" s="62">
        <v>46076</v>
      </c>
      <c r="F67" s="58"/>
      <c r="G67" s="58"/>
      <c r="J67" s="59"/>
      <c r="K67" s="59"/>
      <c r="L67" s="59"/>
      <c r="M67" s="59"/>
      <c r="N67" s="135" t="s">
        <v>715</v>
      </c>
      <c r="O67" s="59"/>
      <c r="P67" s="59"/>
      <c r="Q67" s="59"/>
      <c r="R67" s="59">
        <v>165000</v>
      </c>
      <c r="S67" s="58"/>
      <c r="T67" s="59"/>
      <c r="U67" s="59"/>
      <c r="V67" s="58" t="s">
        <v>541</v>
      </c>
      <c r="W67" s="58" t="s">
        <v>536</v>
      </c>
      <c r="X67" s="70" t="s">
        <v>657</v>
      </c>
      <c r="Y67" s="58" t="s">
        <v>707</v>
      </c>
    </row>
    <row r="68" spans="1:25" ht="22.5" customHeight="1">
      <c r="A68" s="1" t="s">
        <v>716</v>
      </c>
      <c r="B68" s="58" t="s">
        <v>717</v>
      </c>
      <c r="C68" s="58" t="s">
        <v>544</v>
      </c>
      <c r="D68" s="59">
        <v>350000</v>
      </c>
      <c r="E68" s="62">
        <v>46106</v>
      </c>
      <c r="F68" s="58"/>
      <c r="G68" s="58"/>
      <c r="J68" s="59"/>
      <c r="K68" s="59"/>
      <c r="L68" s="59"/>
      <c r="M68" s="59"/>
      <c r="N68" s="67" t="s">
        <v>718</v>
      </c>
      <c r="O68" s="59">
        <v>3025</v>
      </c>
      <c r="P68" s="59">
        <v>23</v>
      </c>
      <c r="Q68" s="59">
        <v>8</v>
      </c>
      <c r="R68" s="59">
        <v>511</v>
      </c>
      <c r="S68" s="58"/>
      <c r="T68" s="59"/>
      <c r="U68" s="59"/>
      <c r="V68" s="58" t="s">
        <v>541</v>
      </c>
      <c r="W68" s="58"/>
      <c r="X68" s="58"/>
      <c r="Y68" s="58"/>
    </row>
    <row r="69" spans="1:25" ht="22.5" customHeight="1">
      <c r="B69" s="58" t="s">
        <v>719</v>
      </c>
      <c r="C69" s="58" t="s">
        <v>544</v>
      </c>
      <c r="D69" s="59">
        <v>850000</v>
      </c>
      <c r="E69" s="62">
        <v>46106</v>
      </c>
      <c r="F69" s="58"/>
      <c r="G69" s="58"/>
      <c r="J69" s="59"/>
      <c r="K69" s="59"/>
      <c r="L69" s="59"/>
      <c r="M69" s="59"/>
      <c r="N69" s="67" t="s">
        <v>720</v>
      </c>
      <c r="O69" s="59">
        <v>34000</v>
      </c>
      <c r="P69" s="59">
        <v>140</v>
      </c>
      <c r="Q69" s="59">
        <v>38</v>
      </c>
      <c r="R69" s="59">
        <v>4763</v>
      </c>
      <c r="S69" s="58"/>
      <c r="T69" s="59"/>
      <c r="U69" s="59"/>
      <c r="V69" s="58" t="s">
        <v>535</v>
      </c>
      <c r="W69" s="58"/>
      <c r="X69" s="58"/>
      <c r="Y69" s="58"/>
    </row>
    <row r="70" spans="1:25" ht="22.5" customHeight="1">
      <c r="B70" s="58" t="s">
        <v>721</v>
      </c>
      <c r="C70" s="58" t="s">
        <v>544</v>
      </c>
      <c r="D70" s="59">
        <v>700000</v>
      </c>
      <c r="E70" s="62">
        <v>46106</v>
      </c>
      <c r="F70" s="58"/>
      <c r="G70" s="58"/>
      <c r="J70" s="59"/>
      <c r="K70" s="59"/>
      <c r="L70" s="59"/>
      <c r="M70" s="59"/>
      <c r="N70" s="67" t="s">
        <v>722</v>
      </c>
      <c r="O70" s="59">
        <v>4176</v>
      </c>
      <c r="P70" s="59">
        <v>16</v>
      </c>
      <c r="Q70" s="59">
        <v>2</v>
      </c>
      <c r="R70" s="59">
        <v>1399</v>
      </c>
      <c r="S70" s="58"/>
      <c r="T70" s="59"/>
      <c r="U70" s="59"/>
      <c r="V70" s="58" t="s">
        <v>541</v>
      </c>
      <c r="W70" s="58"/>
      <c r="X70" s="58"/>
      <c r="Y70" s="58"/>
    </row>
    <row r="71" spans="1:25" ht="22.5" customHeight="1">
      <c r="B71" s="58" t="s">
        <v>723</v>
      </c>
      <c r="C71" s="58" t="s">
        <v>544</v>
      </c>
      <c r="D71" s="59">
        <v>950000</v>
      </c>
      <c r="E71" s="62">
        <v>46106</v>
      </c>
      <c r="F71" s="58"/>
      <c r="G71" s="58"/>
      <c r="J71" s="59"/>
      <c r="K71" s="59"/>
      <c r="L71" s="59"/>
      <c r="M71" s="59"/>
      <c r="N71" s="67" t="s">
        <v>724</v>
      </c>
      <c r="O71" s="59">
        <v>59000</v>
      </c>
      <c r="P71" s="59">
        <v>179</v>
      </c>
      <c r="Q71" s="59">
        <v>13</v>
      </c>
      <c r="R71" s="59">
        <v>16000</v>
      </c>
      <c r="S71" s="58"/>
      <c r="T71" s="59"/>
      <c r="U71" s="59"/>
      <c r="V71" s="58" t="s">
        <v>541</v>
      </c>
      <c r="W71" s="58"/>
      <c r="X71" s="58"/>
      <c r="Y71" s="58"/>
    </row>
    <row r="72" spans="1:25" ht="22.5" customHeight="1">
      <c r="B72" s="58" t="s">
        <v>725</v>
      </c>
      <c r="C72" s="58" t="s">
        <v>544</v>
      </c>
      <c r="D72" s="59">
        <v>1200000</v>
      </c>
      <c r="E72" s="62">
        <v>46106</v>
      </c>
      <c r="F72" s="58"/>
      <c r="G72" s="58"/>
      <c r="J72" s="59"/>
      <c r="K72" s="59"/>
      <c r="L72" s="59"/>
      <c r="M72" s="59"/>
      <c r="N72" s="67" t="s">
        <v>726</v>
      </c>
      <c r="O72" s="59">
        <v>12000</v>
      </c>
      <c r="P72" s="59">
        <v>116</v>
      </c>
      <c r="Q72" s="59">
        <v>7</v>
      </c>
      <c r="R72" s="59">
        <v>6992</v>
      </c>
      <c r="S72" s="58"/>
      <c r="T72" s="59"/>
      <c r="U72" s="59"/>
      <c r="V72" s="58" t="s">
        <v>727</v>
      </c>
      <c r="W72" s="58"/>
      <c r="X72" s="58"/>
      <c r="Y72" s="58"/>
    </row>
    <row r="73" spans="1:25" ht="22.5" customHeight="1">
      <c r="B73" s="58" t="s">
        <v>728</v>
      </c>
      <c r="C73" s="58" t="s">
        <v>544</v>
      </c>
      <c r="D73" s="59">
        <v>750000</v>
      </c>
      <c r="E73" s="62">
        <v>46107</v>
      </c>
      <c r="F73" s="58"/>
      <c r="G73" s="58"/>
      <c r="J73" s="59"/>
      <c r="K73" s="59"/>
      <c r="L73" s="59"/>
      <c r="M73" s="59"/>
      <c r="N73" s="67" t="s">
        <v>729</v>
      </c>
      <c r="O73" s="59">
        <v>37000</v>
      </c>
      <c r="P73" s="59">
        <v>110</v>
      </c>
      <c r="Q73" s="59">
        <v>31</v>
      </c>
      <c r="R73" s="59">
        <v>15000</v>
      </c>
      <c r="S73" s="58"/>
      <c r="T73" s="59"/>
      <c r="U73" s="59"/>
      <c r="V73" s="58" t="s">
        <v>541</v>
      </c>
      <c r="W73" s="58"/>
      <c r="X73" s="58"/>
      <c r="Y73" s="58"/>
    </row>
    <row r="74" spans="1:25" ht="22.5" customHeight="1">
      <c r="B74" s="58" t="s">
        <v>730</v>
      </c>
      <c r="C74" s="58" t="s">
        <v>544</v>
      </c>
      <c r="D74" s="59">
        <v>470000</v>
      </c>
      <c r="E74" s="62">
        <v>46107</v>
      </c>
      <c r="F74" s="58"/>
      <c r="G74" s="58"/>
      <c r="J74" s="59"/>
      <c r="K74" s="59"/>
      <c r="L74" s="59"/>
      <c r="M74" s="59"/>
      <c r="N74" s="67" t="s">
        <v>731</v>
      </c>
      <c r="O74" s="59">
        <v>3988</v>
      </c>
      <c r="P74" s="59">
        <v>28</v>
      </c>
      <c r="Q74" s="59">
        <v>11</v>
      </c>
      <c r="R74" s="59">
        <v>2701</v>
      </c>
      <c r="S74" s="58"/>
      <c r="T74" s="59"/>
      <c r="U74" s="59"/>
      <c r="V74" s="58" t="s">
        <v>638</v>
      </c>
      <c r="W74" s="58"/>
      <c r="X74" s="58"/>
      <c r="Y74" s="58"/>
    </row>
    <row r="75" spans="1:25" ht="22.5" customHeight="1">
      <c r="A75" s="1" t="s">
        <v>732</v>
      </c>
      <c r="B75" s="58" t="s">
        <v>733</v>
      </c>
      <c r="C75" s="58" t="s">
        <v>544</v>
      </c>
      <c r="D75" s="59">
        <v>440000</v>
      </c>
      <c r="E75" s="62">
        <v>46108</v>
      </c>
      <c r="F75" s="58"/>
      <c r="G75" s="58"/>
      <c r="J75" s="59"/>
      <c r="K75" s="59"/>
      <c r="L75" s="59"/>
      <c r="M75" s="59"/>
      <c r="N75" s="67" t="s">
        <v>734</v>
      </c>
      <c r="O75" s="59"/>
      <c r="P75" s="59"/>
      <c r="Q75" s="59"/>
      <c r="R75" s="59">
        <v>62000</v>
      </c>
      <c r="S75" s="58"/>
      <c r="T75" s="59"/>
      <c r="U75" s="59"/>
      <c r="V75" s="58" t="s">
        <v>541</v>
      </c>
      <c r="W75" s="58"/>
      <c r="X75" s="58"/>
      <c r="Y75" s="58"/>
    </row>
    <row r="76" spans="1:25" ht="22.5" customHeight="1">
      <c r="B76" s="58" t="s">
        <v>735</v>
      </c>
      <c r="C76" s="58" t="s">
        <v>544</v>
      </c>
      <c r="D76" s="59">
        <v>440000</v>
      </c>
      <c r="E76" s="62">
        <v>46108</v>
      </c>
      <c r="F76" s="58"/>
      <c r="G76" s="58"/>
      <c r="J76" s="59"/>
      <c r="K76" s="59"/>
      <c r="L76" s="59"/>
      <c r="M76" s="59"/>
      <c r="N76" s="67" t="s">
        <v>736</v>
      </c>
      <c r="O76" s="59"/>
      <c r="P76" s="59"/>
      <c r="Q76" s="59"/>
      <c r="R76" s="59">
        <v>2945</v>
      </c>
      <c r="S76" s="58"/>
      <c r="T76" s="59"/>
      <c r="U76" s="59"/>
      <c r="V76" s="58" t="s">
        <v>541</v>
      </c>
      <c r="W76" s="58"/>
      <c r="X76" s="58"/>
      <c r="Y76" s="58"/>
    </row>
    <row r="77" spans="1:25" ht="22.5" customHeight="1">
      <c r="B77" s="58" t="s">
        <v>737</v>
      </c>
      <c r="C77" s="58" t="s">
        <v>544</v>
      </c>
      <c r="D77" s="59">
        <v>440000</v>
      </c>
      <c r="E77" s="62">
        <v>46108</v>
      </c>
      <c r="F77" s="58"/>
      <c r="G77" s="58"/>
      <c r="J77" s="59"/>
      <c r="K77" s="59"/>
      <c r="L77" s="59"/>
      <c r="M77" s="59"/>
      <c r="N77" s="67" t="s">
        <v>738</v>
      </c>
      <c r="O77" s="59"/>
      <c r="P77" s="59"/>
      <c r="Q77" s="59"/>
      <c r="R77" s="59">
        <v>85000</v>
      </c>
      <c r="S77" s="58"/>
      <c r="T77" s="59"/>
      <c r="U77" s="59"/>
      <c r="V77" s="58" t="s">
        <v>638</v>
      </c>
      <c r="W77" s="58"/>
      <c r="X77" s="58"/>
      <c r="Y77" s="58"/>
    </row>
    <row r="78" spans="1:25" ht="22.5" customHeight="1">
      <c r="A78" s="1" t="s">
        <v>739</v>
      </c>
      <c r="B78" s="58" t="s">
        <v>740</v>
      </c>
      <c r="C78" s="58" t="s">
        <v>544</v>
      </c>
      <c r="D78" s="59">
        <v>412500</v>
      </c>
      <c r="E78" s="62">
        <v>46134</v>
      </c>
      <c r="F78" s="58"/>
      <c r="G78" s="58"/>
      <c r="J78" s="59"/>
      <c r="K78" s="59"/>
      <c r="L78" s="59"/>
      <c r="M78" s="59"/>
      <c r="N78" s="67" t="s">
        <v>741</v>
      </c>
      <c r="O78" s="59"/>
      <c r="P78" s="59"/>
      <c r="Q78" s="59"/>
      <c r="R78" s="59"/>
      <c r="S78" s="58"/>
      <c r="T78" s="59"/>
      <c r="U78" s="59"/>
      <c r="V78" s="58"/>
      <c r="W78" s="58"/>
      <c r="X78" s="58"/>
      <c r="Y78" s="58"/>
    </row>
    <row r="79" spans="1:25" ht="22.5" customHeight="1">
      <c r="B79" s="58" t="s">
        <v>742</v>
      </c>
      <c r="C79" s="58" t="s">
        <v>544</v>
      </c>
      <c r="D79" s="59">
        <v>412500</v>
      </c>
      <c r="E79" s="62">
        <v>46134</v>
      </c>
      <c r="F79" s="58"/>
      <c r="G79" s="58"/>
      <c r="J79" s="59"/>
      <c r="K79" s="59"/>
      <c r="L79" s="59"/>
      <c r="M79" s="59"/>
      <c r="N79" s="67" t="s">
        <v>743</v>
      </c>
      <c r="O79" s="59"/>
      <c r="P79" s="59"/>
      <c r="Q79" s="59"/>
      <c r="R79" s="59"/>
      <c r="S79" s="58"/>
      <c r="T79" s="59"/>
      <c r="U79" s="59"/>
      <c r="V79" s="58"/>
      <c r="W79" s="58"/>
      <c r="X79" s="58"/>
      <c r="Y79" s="58"/>
    </row>
    <row r="80" spans="1:25" ht="22.5" customHeight="1">
      <c r="B80" s="58" t="s">
        <v>744</v>
      </c>
      <c r="C80" s="58" t="s">
        <v>544</v>
      </c>
      <c r="D80" s="59">
        <v>412500</v>
      </c>
      <c r="E80" s="62">
        <v>46134</v>
      </c>
      <c r="F80" s="58"/>
      <c r="G80" s="58"/>
      <c r="J80" s="59"/>
      <c r="K80" s="59"/>
      <c r="L80" s="59"/>
      <c r="M80" s="59"/>
      <c r="N80" s="67" t="s">
        <v>745</v>
      </c>
      <c r="O80" s="59"/>
      <c r="P80" s="59"/>
      <c r="Q80" s="59"/>
      <c r="R80" s="59"/>
      <c r="S80" s="58"/>
      <c r="T80" s="59"/>
      <c r="U80" s="59"/>
      <c r="V80" s="58"/>
      <c r="W80" s="58"/>
      <c r="X80" s="58"/>
      <c r="Y80" s="58"/>
    </row>
    <row r="81" spans="1:25" ht="22.5" customHeight="1">
      <c r="B81" s="58" t="s">
        <v>746</v>
      </c>
      <c r="C81" s="58" t="s">
        <v>544</v>
      </c>
      <c r="D81" s="59">
        <v>412500</v>
      </c>
      <c r="E81" s="62">
        <v>46134</v>
      </c>
      <c r="F81" s="58"/>
      <c r="G81" s="58"/>
      <c r="J81" s="59"/>
      <c r="K81" s="59"/>
      <c r="L81" s="59"/>
      <c r="M81" s="59"/>
      <c r="N81" s="67" t="s">
        <v>747</v>
      </c>
      <c r="O81" s="59"/>
      <c r="P81" s="59"/>
      <c r="Q81" s="59"/>
      <c r="R81" s="59"/>
      <c r="S81" s="58"/>
      <c r="T81" s="59"/>
      <c r="U81" s="59"/>
      <c r="V81" s="58"/>
      <c r="W81" s="58"/>
      <c r="X81" s="58"/>
      <c r="Y81" s="58"/>
    </row>
    <row r="82" spans="1:25" ht="22.5" customHeight="1">
      <c r="A82" s="1" t="s">
        <v>748</v>
      </c>
      <c r="B82" s="58" t="s">
        <v>749</v>
      </c>
      <c r="C82" s="58" t="s">
        <v>544</v>
      </c>
      <c r="D82" s="59">
        <v>412500</v>
      </c>
      <c r="E82" s="62">
        <v>46134</v>
      </c>
      <c r="F82" s="58"/>
      <c r="G82" s="58"/>
      <c r="J82" s="59"/>
      <c r="K82" s="59"/>
      <c r="L82" s="59"/>
      <c r="M82" s="59"/>
      <c r="N82" s="67" t="s">
        <v>750</v>
      </c>
      <c r="O82" s="59"/>
      <c r="P82" s="59"/>
      <c r="Q82" s="59"/>
      <c r="R82" s="59"/>
      <c r="S82" s="58"/>
      <c r="T82" s="59"/>
      <c r="U82" s="59"/>
      <c r="V82" s="58"/>
      <c r="W82" s="58"/>
      <c r="X82" s="58"/>
      <c r="Y82" s="58"/>
    </row>
    <row r="83" spans="1:25" ht="22.5" customHeight="1">
      <c r="B83" s="58" t="s">
        <v>751</v>
      </c>
      <c r="C83" s="58" t="s">
        <v>544</v>
      </c>
      <c r="D83" s="59">
        <v>412500</v>
      </c>
      <c r="E83" s="62">
        <v>46134</v>
      </c>
      <c r="F83" s="58"/>
      <c r="G83" s="58"/>
      <c r="J83" s="59"/>
      <c r="K83" s="59"/>
      <c r="L83" s="59"/>
      <c r="M83" s="59"/>
      <c r="N83" s="67" t="s">
        <v>752</v>
      </c>
      <c r="O83" s="59"/>
      <c r="P83" s="59"/>
      <c r="Q83" s="59"/>
      <c r="R83" s="59"/>
      <c r="S83" s="58"/>
      <c r="T83" s="59"/>
      <c r="U83" s="59"/>
      <c r="V83" s="58"/>
      <c r="W83" s="58"/>
      <c r="X83" s="58"/>
      <c r="Y83" s="58"/>
    </row>
    <row r="84" spans="1:25" ht="22.5" customHeight="1">
      <c r="B84" s="58" t="s">
        <v>753</v>
      </c>
      <c r="C84" s="58" t="s">
        <v>544</v>
      </c>
      <c r="D84" s="59">
        <v>412500</v>
      </c>
      <c r="E84" s="62">
        <v>46134</v>
      </c>
      <c r="F84" s="58"/>
      <c r="G84" s="58"/>
      <c r="J84" s="59"/>
      <c r="K84" s="59"/>
      <c r="L84" s="59"/>
      <c r="M84" s="59"/>
      <c r="N84" s="67" t="s">
        <v>754</v>
      </c>
      <c r="O84" s="59"/>
      <c r="P84" s="59"/>
      <c r="Q84" s="59"/>
      <c r="R84" s="59"/>
      <c r="S84" s="58"/>
      <c r="T84" s="59"/>
      <c r="U84" s="59"/>
      <c r="V84" s="58"/>
      <c r="W84" s="58"/>
      <c r="X84" s="58"/>
      <c r="Y84" s="58"/>
    </row>
    <row r="85" spans="1:25" ht="22.5" customHeight="1">
      <c r="B85" s="58"/>
      <c r="C85" s="58"/>
      <c r="D85" s="59"/>
      <c r="E85" s="58"/>
      <c r="F85" s="58"/>
      <c r="G85" s="58"/>
      <c r="J85" s="59"/>
      <c r="K85" s="59"/>
      <c r="L85" s="59"/>
      <c r="M85" s="59"/>
      <c r="N85" s="58"/>
      <c r="O85" s="59"/>
      <c r="P85" s="59"/>
      <c r="Q85" s="59"/>
      <c r="R85" s="59"/>
      <c r="S85" s="58"/>
      <c r="T85" s="59"/>
      <c r="U85" s="59"/>
      <c r="V85" s="58"/>
      <c r="W85" s="58"/>
      <c r="X85" s="58"/>
      <c r="Y85" s="58"/>
    </row>
    <row r="86" spans="1:25" ht="22.5" customHeight="1">
      <c r="B86" s="58"/>
      <c r="C86" s="58"/>
      <c r="D86" s="59"/>
      <c r="E86" s="58"/>
      <c r="F86" s="58"/>
      <c r="G86" s="58"/>
      <c r="J86" s="59"/>
      <c r="K86" s="59"/>
      <c r="L86" s="59"/>
      <c r="M86" s="59"/>
      <c r="N86" s="58"/>
      <c r="O86" s="59"/>
      <c r="P86" s="59"/>
      <c r="Q86" s="59"/>
      <c r="R86" s="59"/>
      <c r="S86" s="58"/>
      <c r="T86" s="59"/>
      <c r="U86" s="59"/>
      <c r="V86" s="58"/>
      <c r="W86" s="58"/>
      <c r="X86" s="58"/>
      <c r="Y86" s="58"/>
    </row>
    <row r="87" spans="1:25" ht="22.5" customHeight="1">
      <c r="B87" s="58"/>
      <c r="C87" s="58"/>
      <c r="D87" s="59"/>
      <c r="E87" s="58"/>
      <c r="F87" s="58"/>
      <c r="G87" s="58"/>
      <c r="J87" s="59"/>
      <c r="K87" s="59"/>
      <c r="L87" s="59"/>
      <c r="M87" s="59"/>
      <c r="N87" s="58"/>
      <c r="O87" s="59"/>
      <c r="P87" s="59"/>
      <c r="Q87" s="59"/>
      <c r="R87" s="59"/>
      <c r="S87" s="58"/>
      <c r="T87" s="59"/>
      <c r="U87" s="59"/>
      <c r="V87" s="58"/>
      <c r="W87" s="58"/>
      <c r="X87" s="58"/>
      <c r="Y87" s="58"/>
    </row>
    <row r="88" spans="1:25" ht="22.5" customHeight="1">
      <c r="B88" s="58"/>
      <c r="C88" s="58"/>
      <c r="D88" s="59"/>
      <c r="E88" s="58"/>
      <c r="F88" s="58"/>
      <c r="G88" s="58"/>
      <c r="J88" s="59"/>
      <c r="K88" s="59"/>
      <c r="L88" s="59"/>
      <c r="M88" s="59"/>
      <c r="N88" s="58"/>
      <c r="O88" s="59"/>
      <c r="P88" s="59"/>
      <c r="Q88" s="59"/>
      <c r="R88" s="59"/>
      <c r="S88" s="58"/>
      <c r="T88" s="59"/>
      <c r="U88" s="59"/>
      <c r="V88" s="58"/>
      <c r="W88" s="58"/>
      <c r="X88" s="58"/>
      <c r="Y88" s="58"/>
    </row>
    <row r="89" spans="1:25" ht="22.5" customHeight="1">
      <c r="B89" s="58"/>
      <c r="C89" s="58"/>
      <c r="D89" s="59"/>
      <c r="E89" s="58"/>
      <c r="F89" s="58"/>
      <c r="G89" s="58"/>
      <c r="J89" s="59"/>
      <c r="K89" s="59"/>
      <c r="L89" s="59"/>
      <c r="M89" s="59"/>
      <c r="N89" s="58"/>
      <c r="O89" s="59"/>
      <c r="P89" s="59"/>
      <c r="Q89" s="59"/>
      <c r="R89" s="59"/>
      <c r="S89" s="58"/>
      <c r="T89" s="59"/>
      <c r="U89" s="59"/>
      <c r="V89" s="58"/>
      <c r="W89" s="58"/>
      <c r="X89" s="58"/>
      <c r="Y89" s="58"/>
    </row>
    <row r="90" spans="1:25" ht="22.5" customHeight="1">
      <c r="B90" s="58"/>
      <c r="C90" s="58"/>
      <c r="D90" s="59"/>
      <c r="E90" s="58"/>
      <c r="F90" s="58"/>
      <c r="G90" s="58"/>
      <c r="J90" s="59"/>
      <c r="K90" s="59"/>
      <c r="L90" s="59"/>
      <c r="M90" s="59"/>
      <c r="N90" s="58"/>
      <c r="O90" s="59"/>
      <c r="P90" s="59"/>
      <c r="Q90" s="59"/>
      <c r="R90" s="59"/>
      <c r="S90" s="58"/>
      <c r="T90" s="59"/>
      <c r="U90" s="59"/>
      <c r="V90" s="58"/>
      <c r="W90" s="58"/>
      <c r="X90" s="58"/>
      <c r="Y90" s="58"/>
    </row>
    <row r="91" spans="1:25" ht="22.5" customHeight="1">
      <c r="B91" s="58"/>
      <c r="C91" s="58"/>
      <c r="D91" s="59"/>
      <c r="E91" s="58"/>
      <c r="F91" s="58"/>
      <c r="G91" s="58"/>
      <c r="J91" s="59"/>
      <c r="K91" s="59"/>
      <c r="L91" s="59"/>
      <c r="M91" s="59"/>
      <c r="N91" s="58"/>
      <c r="O91" s="59"/>
      <c r="P91" s="59"/>
      <c r="Q91" s="59"/>
      <c r="R91" s="59"/>
      <c r="S91" s="58"/>
      <c r="T91" s="59"/>
      <c r="U91" s="59"/>
      <c r="V91" s="58"/>
      <c r="W91" s="58"/>
      <c r="X91" s="58"/>
      <c r="Y91" s="58"/>
    </row>
    <row r="92" spans="1:25" ht="22.5" customHeight="1">
      <c r="B92" s="58"/>
      <c r="C92" s="58"/>
      <c r="D92" s="59"/>
      <c r="E92" s="58"/>
      <c r="F92" s="58"/>
      <c r="G92" s="58"/>
      <c r="J92" s="59"/>
      <c r="K92" s="59"/>
      <c r="L92" s="59"/>
      <c r="M92" s="59"/>
      <c r="N92" s="58"/>
      <c r="O92" s="59"/>
      <c r="P92" s="59"/>
      <c r="Q92" s="59"/>
      <c r="R92" s="59"/>
      <c r="S92" s="58"/>
      <c r="T92" s="59"/>
      <c r="U92" s="59"/>
      <c r="V92" s="58"/>
      <c r="W92" s="58"/>
      <c r="X92" s="58"/>
      <c r="Y92" s="58"/>
    </row>
    <row r="93" spans="1:25" ht="22.5" customHeight="1">
      <c r="B93" s="58"/>
      <c r="C93" s="58"/>
      <c r="D93" s="59"/>
      <c r="E93" s="58"/>
      <c r="F93" s="58"/>
      <c r="G93" s="58"/>
      <c r="J93" s="59"/>
      <c r="K93" s="59"/>
      <c r="L93" s="59"/>
      <c r="M93" s="59"/>
      <c r="N93" s="58"/>
      <c r="O93" s="59"/>
      <c r="P93" s="59"/>
      <c r="Q93" s="59"/>
      <c r="R93" s="59"/>
      <c r="S93" s="58"/>
      <c r="T93" s="59"/>
      <c r="U93" s="59"/>
      <c r="V93" s="58"/>
      <c r="W93" s="58"/>
      <c r="X93" s="58"/>
      <c r="Y93" s="58"/>
    </row>
    <row r="94" spans="1:25" ht="22.5" customHeight="1">
      <c r="B94" s="58"/>
      <c r="C94" s="58"/>
      <c r="D94" s="59"/>
      <c r="E94" s="58"/>
      <c r="F94" s="58"/>
      <c r="G94" s="58"/>
      <c r="J94" s="59"/>
      <c r="K94" s="59"/>
      <c r="L94" s="59"/>
      <c r="M94" s="59"/>
      <c r="N94" s="58"/>
      <c r="O94" s="59"/>
      <c r="P94" s="59"/>
      <c r="Q94" s="59"/>
      <c r="R94" s="59"/>
      <c r="S94" s="58"/>
      <c r="T94" s="59"/>
      <c r="U94" s="59"/>
      <c r="V94" s="58"/>
      <c r="W94" s="58"/>
      <c r="X94" s="58"/>
      <c r="Y94" s="58"/>
    </row>
    <row r="95" spans="1:25" ht="22.5" customHeight="1">
      <c r="B95" s="58"/>
      <c r="C95" s="58"/>
      <c r="D95" s="59"/>
      <c r="E95" s="58"/>
      <c r="F95" s="58"/>
      <c r="G95" s="58"/>
      <c r="J95" s="59"/>
      <c r="K95" s="59"/>
      <c r="L95" s="59"/>
      <c r="M95" s="59"/>
      <c r="N95" s="58"/>
      <c r="O95" s="59"/>
      <c r="P95" s="59"/>
      <c r="Q95" s="59"/>
      <c r="R95" s="59"/>
      <c r="S95" s="58"/>
      <c r="T95" s="59"/>
      <c r="U95" s="59"/>
      <c r="V95" s="58"/>
      <c r="W95" s="58"/>
      <c r="X95" s="58"/>
      <c r="Y95" s="58"/>
    </row>
    <row r="96" spans="1:25" ht="22.5" customHeight="1">
      <c r="B96" s="58"/>
      <c r="C96" s="58"/>
      <c r="D96" s="59"/>
      <c r="E96" s="58"/>
      <c r="F96" s="58"/>
      <c r="G96" s="58"/>
      <c r="J96" s="59"/>
      <c r="K96" s="59"/>
      <c r="L96" s="59"/>
      <c r="M96" s="59"/>
      <c r="N96" s="58"/>
      <c r="O96" s="59"/>
      <c r="P96" s="59"/>
      <c r="Q96" s="59"/>
      <c r="R96" s="59"/>
      <c r="S96" s="58"/>
      <c r="T96" s="59"/>
      <c r="U96" s="59"/>
      <c r="V96" s="58"/>
      <c r="W96" s="58"/>
      <c r="X96" s="58"/>
      <c r="Y96" s="58"/>
    </row>
    <row r="97" spans="2:25" ht="22.5" customHeight="1">
      <c r="B97" s="58"/>
      <c r="C97" s="58"/>
      <c r="D97" s="59"/>
      <c r="E97" s="58"/>
      <c r="F97" s="58"/>
      <c r="G97" s="58"/>
      <c r="J97" s="59"/>
      <c r="K97" s="59"/>
      <c r="L97" s="59"/>
      <c r="M97" s="59"/>
      <c r="N97" s="58"/>
      <c r="O97" s="59"/>
      <c r="P97" s="59"/>
      <c r="Q97" s="59"/>
      <c r="R97" s="59"/>
      <c r="S97" s="58"/>
      <c r="T97" s="59"/>
      <c r="U97" s="59"/>
      <c r="V97" s="58"/>
      <c r="W97" s="58"/>
      <c r="X97" s="58"/>
      <c r="Y97" s="58"/>
    </row>
    <row r="98" spans="2:25" ht="22.5" customHeight="1">
      <c r="B98" s="58"/>
      <c r="C98" s="58"/>
      <c r="D98" s="59"/>
      <c r="E98" s="58"/>
      <c r="F98" s="58"/>
      <c r="G98" s="58"/>
      <c r="J98" s="59"/>
      <c r="K98" s="59"/>
      <c r="L98" s="59"/>
      <c r="M98" s="59"/>
      <c r="N98" s="58"/>
      <c r="O98" s="59"/>
      <c r="P98" s="59"/>
      <c r="Q98" s="59"/>
      <c r="R98" s="59"/>
      <c r="S98" s="58"/>
      <c r="T98" s="59"/>
      <c r="U98" s="59"/>
      <c r="V98" s="58"/>
      <c r="W98" s="58"/>
      <c r="X98" s="58"/>
      <c r="Y98" s="58"/>
    </row>
    <row r="99" spans="2:25" ht="22.5" customHeight="1">
      <c r="B99" s="58"/>
      <c r="C99" s="58"/>
      <c r="D99" s="59"/>
      <c r="E99" s="58"/>
      <c r="F99" s="58"/>
      <c r="G99" s="58"/>
      <c r="J99" s="59"/>
      <c r="K99" s="59"/>
      <c r="L99" s="59"/>
      <c r="M99" s="59"/>
      <c r="N99" s="58"/>
      <c r="O99" s="59"/>
      <c r="P99" s="59"/>
      <c r="Q99" s="59"/>
      <c r="R99" s="59"/>
      <c r="S99" s="58"/>
      <c r="T99" s="59"/>
      <c r="U99" s="59"/>
      <c r="V99" s="58"/>
      <c r="W99" s="58"/>
      <c r="X99" s="58"/>
      <c r="Y99" s="58"/>
    </row>
    <row r="100" spans="2:25" ht="22.5" customHeight="1">
      <c r="B100" s="58"/>
      <c r="C100" s="58"/>
      <c r="D100" s="59"/>
      <c r="E100" s="58"/>
      <c r="F100" s="58"/>
      <c r="G100" s="58"/>
      <c r="J100" s="59"/>
      <c r="K100" s="59"/>
      <c r="L100" s="59"/>
      <c r="M100" s="59"/>
      <c r="N100" s="58"/>
      <c r="O100" s="59"/>
      <c r="P100" s="59"/>
      <c r="Q100" s="59"/>
      <c r="R100" s="59"/>
      <c r="S100" s="58"/>
      <c r="T100" s="59"/>
      <c r="U100" s="59"/>
      <c r="V100" s="58"/>
      <c r="W100" s="58"/>
      <c r="X100" s="58"/>
      <c r="Y100" s="58"/>
    </row>
    <row r="101" spans="2:25" ht="22.5" customHeight="1">
      <c r="B101" s="58"/>
      <c r="C101" s="58"/>
      <c r="D101" s="59"/>
      <c r="E101" s="58"/>
      <c r="F101" s="58"/>
      <c r="G101" s="58"/>
      <c r="J101" s="59"/>
      <c r="K101" s="59"/>
      <c r="L101" s="59"/>
      <c r="M101" s="59"/>
      <c r="N101" s="58"/>
      <c r="O101" s="59"/>
      <c r="P101" s="59"/>
      <c r="Q101" s="59"/>
      <c r="R101" s="59"/>
      <c r="S101" s="58"/>
      <c r="T101" s="59"/>
      <c r="U101" s="59"/>
      <c r="V101" s="58"/>
      <c r="W101" s="58"/>
      <c r="X101" s="58"/>
      <c r="Y101" s="58"/>
    </row>
    <row r="102" spans="2:25" ht="22.5" customHeight="1">
      <c r="B102" s="58"/>
      <c r="C102" s="58"/>
      <c r="D102" s="59"/>
      <c r="E102" s="58"/>
      <c r="F102" s="58"/>
      <c r="G102" s="58"/>
      <c r="J102" s="59"/>
      <c r="K102" s="59"/>
      <c r="L102" s="59"/>
      <c r="M102" s="59"/>
      <c r="N102" s="58"/>
      <c r="O102" s="59"/>
      <c r="P102" s="59"/>
      <c r="Q102" s="59"/>
      <c r="R102" s="59"/>
      <c r="S102" s="58"/>
      <c r="T102" s="59"/>
      <c r="U102" s="59"/>
      <c r="V102" s="58"/>
      <c r="W102" s="58"/>
      <c r="X102" s="58"/>
      <c r="Y102" s="58"/>
    </row>
    <row r="103" spans="2:25" ht="22.5" customHeight="1">
      <c r="B103" s="58"/>
      <c r="C103" s="58"/>
      <c r="D103" s="59"/>
      <c r="E103" s="58"/>
      <c r="F103" s="58"/>
      <c r="G103" s="58"/>
      <c r="J103" s="59"/>
      <c r="K103" s="59"/>
      <c r="L103" s="59"/>
      <c r="M103" s="59"/>
      <c r="N103" s="58"/>
      <c r="O103" s="59"/>
      <c r="P103" s="59"/>
      <c r="Q103" s="59"/>
      <c r="R103" s="59"/>
      <c r="S103" s="58"/>
      <c r="T103" s="59"/>
      <c r="U103" s="59"/>
      <c r="V103" s="58"/>
      <c r="W103" s="58"/>
      <c r="X103" s="58"/>
      <c r="Y103" s="58"/>
    </row>
    <row r="104" spans="2:25" ht="22.5" customHeight="1">
      <c r="B104" s="58"/>
      <c r="C104" s="58"/>
      <c r="D104" s="59"/>
      <c r="E104" s="58"/>
      <c r="F104" s="58"/>
      <c r="G104" s="58"/>
      <c r="J104" s="59"/>
      <c r="K104" s="59"/>
      <c r="L104" s="59"/>
      <c r="M104" s="59"/>
      <c r="N104" s="58"/>
      <c r="O104" s="59"/>
      <c r="P104" s="59"/>
      <c r="Q104" s="59"/>
      <c r="R104" s="59"/>
      <c r="S104" s="58"/>
      <c r="T104" s="59"/>
      <c r="U104" s="59"/>
      <c r="V104" s="58"/>
      <c r="W104" s="58"/>
      <c r="X104" s="58"/>
      <c r="Y104" s="58"/>
    </row>
    <row r="105" spans="2:25" ht="22.5" customHeight="1">
      <c r="B105" s="58"/>
      <c r="C105" s="58"/>
      <c r="D105" s="59"/>
      <c r="E105" s="58"/>
      <c r="F105" s="58"/>
      <c r="G105" s="58"/>
      <c r="J105" s="59"/>
      <c r="K105" s="59"/>
      <c r="L105" s="59"/>
      <c r="M105" s="59"/>
      <c r="N105" s="58"/>
      <c r="O105" s="59"/>
      <c r="P105" s="59"/>
      <c r="Q105" s="59"/>
      <c r="R105" s="59"/>
      <c r="S105" s="58"/>
      <c r="T105" s="59"/>
      <c r="U105" s="59"/>
      <c r="V105" s="58"/>
      <c r="W105" s="58"/>
      <c r="X105" s="58"/>
      <c r="Y105" s="58"/>
    </row>
    <row r="106" spans="2:25" ht="22.5" customHeight="1">
      <c r="B106" s="58"/>
      <c r="C106" s="58"/>
      <c r="D106" s="59"/>
      <c r="E106" s="58"/>
      <c r="F106" s="58"/>
      <c r="G106" s="58"/>
      <c r="J106" s="59"/>
      <c r="K106" s="59"/>
      <c r="L106" s="59"/>
      <c r="M106" s="59"/>
      <c r="N106" s="58"/>
      <c r="O106" s="59"/>
      <c r="P106" s="59"/>
      <c r="Q106" s="59"/>
      <c r="R106" s="59"/>
      <c r="S106" s="58"/>
      <c r="T106" s="59"/>
      <c r="U106" s="59"/>
      <c r="V106" s="58"/>
      <c r="W106" s="58"/>
      <c r="X106" s="58"/>
      <c r="Y106" s="58"/>
    </row>
    <row r="107" spans="2:25" ht="22.5" customHeight="1">
      <c r="B107" s="58"/>
      <c r="C107" s="58"/>
      <c r="D107" s="59"/>
      <c r="E107" s="58"/>
      <c r="F107" s="58"/>
      <c r="G107" s="58"/>
      <c r="J107" s="59"/>
      <c r="K107" s="59"/>
      <c r="L107" s="59"/>
      <c r="M107" s="59"/>
      <c r="N107" s="58"/>
      <c r="O107" s="59"/>
      <c r="P107" s="59"/>
      <c r="Q107" s="59"/>
      <c r="R107" s="59"/>
      <c r="S107" s="58"/>
      <c r="T107" s="59"/>
      <c r="U107" s="59"/>
      <c r="V107" s="58"/>
      <c r="W107" s="58"/>
      <c r="X107" s="58"/>
      <c r="Y107" s="58"/>
    </row>
    <row r="108" spans="2:25" ht="22.5" customHeight="1">
      <c r="B108" s="58"/>
      <c r="C108" s="58"/>
      <c r="D108" s="59"/>
      <c r="E108" s="58"/>
      <c r="F108" s="58"/>
      <c r="G108" s="58"/>
      <c r="J108" s="59"/>
      <c r="K108" s="59"/>
      <c r="L108" s="59"/>
      <c r="M108" s="59"/>
      <c r="N108" s="58"/>
      <c r="O108" s="59"/>
      <c r="P108" s="59"/>
      <c r="Q108" s="59"/>
      <c r="R108" s="59"/>
      <c r="S108" s="58"/>
      <c r="T108" s="59"/>
      <c r="U108" s="59"/>
      <c r="V108" s="58"/>
      <c r="W108" s="58"/>
      <c r="X108" s="58"/>
      <c r="Y108" s="58"/>
    </row>
    <row r="109" spans="2:25" ht="22.5" customHeight="1">
      <c r="B109" s="58"/>
      <c r="C109" s="58"/>
      <c r="D109" s="59"/>
      <c r="E109" s="58"/>
      <c r="F109" s="58"/>
      <c r="G109" s="58"/>
      <c r="J109" s="59"/>
      <c r="K109" s="59"/>
      <c r="L109" s="59"/>
      <c r="M109" s="59"/>
      <c r="N109" s="58"/>
      <c r="O109" s="59"/>
      <c r="P109" s="59"/>
      <c r="Q109" s="59"/>
      <c r="R109" s="59"/>
      <c r="S109" s="58"/>
      <c r="T109" s="59"/>
      <c r="U109" s="59"/>
      <c r="V109" s="58"/>
      <c r="W109" s="58"/>
      <c r="X109" s="58"/>
      <c r="Y109" s="58"/>
    </row>
    <row r="110" spans="2:25" ht="22.5" customHeight="1">
      <c r="B110" s="58"/>
      <c r="C110" s="58"/>
      <c r="D110" s="59"/>
      <c r="E110" s="58"/>
      <c r="F110" s="58"/>
      <c r="G110" s="58"/>
      <c r="J110" s="59"/>
      <c r="K110" s="59"/>
      <c r="L110" s="59"/>
      <c r="M110" s="59"/>
      <c r="N110" s="58"/>
      <c r="O110" s="59"/>
      <c r="P110" s="59"/>
      <c r="Q110" s="59"/>
      <c r="R110" s="59"/>
      <c r="S110" s="58"/>
      <c r="T110" s="59"/>
      <c r="U110" s="59"/>
      <c r="V110" s="58"/>
      <c r="W110" s="58"/>
      <c r="X110" s="58"/>
      <c r="Y110" s="58"/>
    </row>
    <row r="111" spans="2:25" ht="22.5" customHeight="1">
      <c r="B111" s="58"/>
      <c r="C111" s="58"/>
      <c r="D111" s="59"/>
      <c r="E111" s="58"/>
      <c r="F111" s="58"/>
      <c r="G111" s="58"/>
      <c r="J111" s="59"/>
      <c r="K111" s="59"/>
      <c r="L111" s="59"/>
      <c r="M111" s="59"/>
      <c r="N111" s="58"/>
      <c r="O111" s="59"/>
      <c r="P111" s="59"/>
      <c r="Q111" s="59"/>
      <c r="R111" s="59"/>
      <c r="S111" s="58"/>
      <c r="T111" s="59"/>
      <c r="U111" s="59"/>
      <c r="V111" s="58"/>
      <c r="W111" s="58"/>
      <c r="X111" s="58"/>
      <c r="Y111" s="58"/>
    </row>
    <row r="112" spans="2:25" ht="22.5" customHeight="1">
      <c r="B112" s="58"/>
      <c r="C112" s="58"/>
      <c r="D112" s="59"/>
      <c r="E112" s="58"/>
      <c r="F112" s="58"/>
      <c r="G112" s="58"/>
      <c r="J112" s="59"/>
      <c r="K112" s="59"/>
      <c r="L112" s="59"/>
      <c r="M112" s="59"/>
      <c r="N112" s="58"/>
      <c r="O112" s="59"/>
      <c r="P112" s="59"/>
      <c r="Q112" s="59"/>
      <c r="R112" s="59"/>
      <c r="S112" s="58"/>
      <c r="T112" s="59"/>
      <c r="U112" s="59"/>
      <c r="V112" s="58"/>
      <c r="W112" s="58"/>
      <c r="X112" s="58"/>
      <c r="Y112" s="58"/>
    </row>
    <row r="113" spans="2:25" ht="22.5" customHeight="1">
      <c r="B113" s="58"/>
      <c r="C113" s="58"/>
      <c r="D113" s="59"/>
      <c r="E113" s="58"/>
      <c r="F113" s="58"/>
      <c r="G113" s="58"/>
      <c r="J113" s="59"/>
      <c r="K113" s="59"/>
      <c r="L113" s="59"/>
      <c r="M113" s="59"/>
      <c r="N113" s="58"/>
      <c r="O113" s="59"/>
      <c r="P113" s="59"/>
      <c r="Q113" s="59"/>
      <c r="R113" s="59"/>
      <c r="S113" s="58"/>
      <c r="T113" s="59"/>
      <c r="U113" s="59"/>
      <c r="V113" s="58"/>
      <c r="W113" s="58"/>
      <c r="X113" s="58"/>
      <c r="Y113" s="58"/>
    </row>
    <row r="114" spans="2:25" ht="22.5" customHeight="1">
      <c r="B114" s="58"/>
      <c r="C114" s="58"/>
      <c r="D114" s="59"/>
      <c r="E114" s="58"/>
      <c r="F114" s="58"/>
      <c r="G114" s="58"/>
      <c r="J114" s="59"/>
      <c r="K114" s="59"/>
      <c r="L114" s="59"/>
      <c r="M114" s="59"/>
      <c r="N114" s="58"/>
      <c r="O114" s="59"/>
      <c r="P114" s="59"/>
      <c r="Q114" s="59"/>
      <c r="R114" s="59"/>
      <c r="S114" s="58"/>
      <c r="T114" s="59"/>
      <c r="U114" s="59"/>
      <c r="V114" s="58"/>
      <c r="W114" s="58"/>
      <c r="X114" s="58"/>
      <c r="Y114" s="58"/>
    </row>
    <row r="115" spans="2:25" ht="22.5" customHeight="1">
      <c r="B115" s="58"/>
      <c r="C115" s="58"/>
      <c r="D115" s="59"/>
      <c r="E115" s="58"/>
      <c r="F115" s="58"/>
      <c r="G115" s="58"/>
      <c r="J115" s="59"/>
      <c r="K115" s="59"/>
      <c r="L115" s="59"/>
      <c r="M115" s="59"/>
      <c r="N115" s="58"/>
      <c r="O115" s="59"/>
      <c r="P115" s="59"/>
      <c r="Q115" s="59"/>
      <c r="R115" s="59"/>
      <c r="S115" s="58"/>
      <c r="T115" s="59"/>
      <c r="U115" s="59"/>
      <c r="V115" s="58"/>
      <c r="W115" s="58"/>
      <c r="X115" s="58"/>
      <c r="Y115" s="58"/>
    </row>
    <row r="116" spans="2:25" ht="22.5" customHeight="1">
      <c r="B116" s="58"/>
      <c r="C116" s="58"/>
      <c r="D116" s="59"/>
      <c r="E116" s="58"/>
      <c r="F116" s="58"/>
      <c r="G116" s="58"/>
      <c r="J116" s="59"/>
      <c r="K116" s="59"/>
      <c r="L116" s="59"/>
      <c r="M116" s="59"/>
      <c r="N116" s="58"/>
      <c r="O116" s="59"/>
      <c r="P116" s="59"/>
      <c r="Q116" s="59"/>
      <c r="R116" s="59"/>
      <c r="S116" s="58"/>
      <c r="T116" s="59"/>
      <c r="U116" s="59"/>
      <c r="V116" s="58"/>
      <c r="W116" s="58"/>
      <c r="X116" s="58"/>
      <c r="Y116" s="58"/>
    </row>
    <row r="117" spans="2:25" ht="22.5" customHeight="1">
      <c r="B117" s="58"/>
      <c r="C117" s="58"/>
      <c r="D117" s="59"/>
      <c r="E117" s="58"/>
      <c r="F117" s="58"/>
      <c r="G117" s="58"/>
      <c r="J117" s="59"/>
      <c r="K117" s="59"/>
      <c r="L117" s="59"/>
      <c r="M117" s="59"/>
      <c r="N117" s="58"/>
      <c r="O117" s="59"/>
      <c r="P117" s="59"/>
      <c r="Q117" s="59"/>
      <c r="R117" s="59"/>
      <c r="S117" s="58"/>
      <c r="T117" s="59"/>
      <c r="U117" s="59"/>
      <c r="V117" s="58"/>
      <c r="W117" s="58"/>
      <c r="X117" s="58"/>
      <c r="Y117" s="58"/>
    </row>
    <row r="118" spans="2:25" ht="22.5" customHeight="1">
      <c r="B118" s="58"/>
      <c r="C118" s="58"/>
      <c r="D118" s="59"/>
      <c r="E118" s="58"/>
      <c r="F118" s="58"/>
      <c r="G118" s="58"/>
      <c r="J118" s="59"/>
      <c r="K118" s="59"/>
      <c r="L118" s="59"/>
      <c r="M118" s="59"/>
      <c r="N118" s="58"/>
      <c r="O118" s="59"/>
      <c r="P118" s="59"/>
      <c r="Q118" s="59"/>
      <c r="R118" s="59"/>
      <c r="S118" s="58"/>
      <c r="T118" s="59"/>
      <c r="U118" s="59"/>
      <c r="V118" s="58"/>
      <c r="W118" s="58"/>
      <c r="X118" s="58"/>
      <c r="Y118" s="58"/>
    </row>
    <row r="119" spans="2:25" ht="22.5" customHeight="1">
      <c r="B119" s="58"/>
      <c r="C119" s="58"/>
      <c r="D119" s="59"/>
      <c r="E119" s="58"/>
      <c r="F119" s="58"/>
      <c r="G119" s="58"/>
      <c r="J119" s="59"/>
      <c r="K119" s="59"/>
      <c r="L119" s="59"/>
      <c r="M119" s="59"/>
      <c r="N119" s="58"/>
      <c r="O119" s="59"/>
      <c r="P119" s="59"/>
      <c r="Q119" s="59"/>
      <c r="R119" s="59"/>
      <c r="S119" s="58"/>
      <c r="T119" s="59"/>
      <c r="U119" s="59"/>
      <c r="V119" s="58"/>
      <c r="W119" s="58"/>
      <c r="X119" s="58"/>
      <c r="Y119" s="58"/>
    </row>
    <row r="120" spans="2:25" ht="22.5" customHeight="1">
      <c r="B120" s="58"/>
      <c r="C120" s="58"/>
      <c r="D120" s="59"/>
      <c r="E120" s="58"/>
      <c r="F120" s="58"/>
      <c r="G120" s="58"/>
      <c r="J120" s="59"/>
      <c r="K120" s="59"/>
      <c r="L120" s="59"/>
      <c r="M120" s="59"/>
      <c r="N120" s="58"/>
      <c r="O120" s="59"/>
      <c r="P120" s="59"/>
      <c r="Q120" s="59"/>
      <c r="R120" s="59"/>
      <c r="S120" s="58"/>
      <c r="T120" s="59"/>
      <c r="U120" s="59"/>
      <c r="V120" s="58"/>
      <c r="W120" s="58"/>
      <c r="X120" s="58"/>
      <c r="Y120" s="58"/>
    </row>
    <row r="121" spans="2:25" ht="22.5" customHeight="1">
      <c r="B121" s="58"/>
      <c r="C121" s="58"/>
      <c r="D121" s="59"/>
      <c r="E121" s="58"/>
      <c r="F121" s="58"/>
      <c r="G121" s="58"/>
      <c r="J121" s="59"/>
      <c r="K121" s="59"/>
      <c r="L121" s="59"/>
      <c r="M121" s="59"/>
      <c r="N121" s="58"/>
      <c r="O121" s="59"/>
      <c r="P121" s="59"/>
      <c r="Q121" s="59"/>
      <c r="R121" s="59"/>
      <c r="S121" s="58"/>
      <c r="T121" s="59"/>
      <c r="U121" s="59"/>
      <c r="V121" s="58"/>
      <c r="W121" s="58"/>
      <c r="X121" s="58"/>
      <c r="Y121" s="58"/>
    </row>
    <row r="122" spans="2:25" ht="22.5" customHeight="1">
      <c r="B122" s="58"/>
      <c r="C122" s="58"/>
      <c r="D122" s="59"/>
      <c r="E122" s="58"/>
      <c r="F122" s="58"/>
      <c r="G122" s="58"/>
      <c r="J122" s="59"/>
      <c r="K122" s="59"/>
      <c r="L122" s="59"/>
      <c r="M122" s="59"/>
      <c r="N122" s="58"/>
      <c r="O122" s="59"/>
      <c r="P122" s="59"/>
      <c r="Q122" s="59"/>
      <c r="R122" s="59"/>
      <c r="S122" s="58"/>
      <c r="T122" s="59"/>
      <c r="U122" s="59"/>
      <c r="V122" s="58"/>
      <c r="W122" s="58"/>
      <c r="X122" s="58"/>
      <c r="Y122" s="58"/>
    </row>
    <row r="123" spans="2:25" ht="22.5" customHeight="1">
      <c r="B123" s="58"/>
      <c r="C123" s="58"/>
      <c r="D123" s="59"/>
      <c r="E123" s="58"/>
      <c r="F123" s="58"/>
      <c r="G123" s="58"/>
      <c r="J123" s="59"/>
      <c r="K123" s="59"/>
      <c r="L123" s="59"/>
      <c r="M123" s="59"/>
      <c r="N123" s="58"/>
      <c r="O123" s="59"/>
      <c r="P123" s="59"/>
      <c r="Q123" s="59"/>
      <c r="R123" s="59"/>
      <c r="S123" s="58"/>
      <c r="T123" s="59"/>
      <c r="U123" s="59"/>
      <c r="V123" s="58"/>
      <c r="W123" s="58"/>
      <c r="X123" s="58"/>
      <c r="Y123" s="58"/>
    </row>
    <row r="124" spans="2:25" ht="22.5" customHeight="1">
      <c r="B124" s="58"/>
      <c r="C124" s="58"/>
      <c r="D124" s="59"/>
      <c r="E124" s="58"/>
      <c r="F124" s="58"/>
      <c r="G124" s="58"/>
      <c r="J124" s="59"/>
      <c r="K124" s="59"/>
      <c r="L124" s="59"/>
      <c r="M124" s="59"/>
      <c r="N124" s="58"/>
      <c r="O124" s="59"/>
      <c r="P124" s="59"/>
      <c r="Q124" s="59"/>
      <c r="R124" s="59"/>
      <c r="S124" s="58"/>
      <c r="T124" s="59"/>
      <c r="U124" s="59"/>
      <c r="V124" s="58"/>
      <c r="W124" s="58"/>
      <c r="X124" s="58"/>
      <c r="Y124" s="58"/>
    </row>
    <row r="125" spans="2:25" ht="22.5" customHeight="1">
      <c r="B125" s="58"/>
      <c r="C125" s="58"/>
      <c r="D125" s="59"/>
      <c r="E125" s="58"/>
      <c r="F125" s="58"/>
      <c r="G125" s="58"/>
      <c r="J125" s="59"/>
      <c r="K125" s="59"/>
      <c r="L125" s="59"/>
      <c r="M125" s="59"/>
      <c r="N125" s="58"/>
      <c r="O125" s="59"/>
      <c r="P125" s="59"/>
      <c r="Q125" s="59"/>
      <c r="R125" s="59"/>
      <c r="S125" s="58"/>
      <c r="T125" s="59"/>
      <c r="U125" s="59"/>
      <c r="V125" s="58"/>
      <c r="W125" s="58"/>
      <c r="X125" s="58"/>
      <c r="Y125" s="58"/>
    </row>
    <row r="126" spans="2:25" ht="22.5" customHeight="1">
      <c r="B126" s="58"/>
      <c r="C126" s="58"/>
      <c r="D126" s="59"/>
      <c r="E126" s="58"/>
      <c r="F126" s="58"/>
      <c r="G126" s="58"/>
      <c r="J126" s="59"/>
      <c r="K126" s="59"/>
      <c r="L126" s="59"/>
      <c r="M126" s="59"/>
      <c r="N126" s="58"/>
      <c r="O126" s="59"/>
      <c r="P126" s="59"/>
      <c r="Q126" s="59"/>
      <c r="R126" s="59"/>
      <c r="S126" s="58"/>
      <c r="T126" s="59"/>
      <c r="U126" s="59"/>
      <c r="V126" s="58"/>
      <c r="W126" s="58"/>
      <c r="X126" s="58"/>
      <c r="Y126" s="58"/>
    </row>
    <row r="127" spans="2:25" ht="22.5" customHeight="1">
      <c r="B127" s="58"/>
      <c r="C127" s="58"/>
      <c r="D127" s="59"/>
      <c r="E127" s="58"/>
      <c r="F127" s="58"/>
      <c r="G127" s="58"/>
      <c r="J127" s="59"/>
      <c r="K127" s="59"/>
      <c r="L127" s="59"/>
      <c r="M127" s="59"/>
      <c r="N127" s="58"/>
      <c r="O127" s="59"/>
      <c r="P127" s="59"/>
      <c r="Q127" s="59"/>
      <c r="R127" s="59"/>
      <c r="S127" s="58"/>
      <c r="T127" s="59"/>
      <c r="U127" s="59"/>
      <c r="V127" s="58"/>
      <c r="W127" s="58"/>
      <c r="X127" s="58"/>
      <c r="Y127" s="58"/>
    </row>
    <row r="128" spans="2:25" ht="22.5" customHeight="1">
      <c r="B128" s="58"/>
      <c r="C128" s="58"/>
      <c r="D128" s="59"/>
      <c r="E128" s="58"/>
      <c r="F128" s="58"/>
      <c r="G128" s="58"/>
      <c r="J128" s="59"/>
      <c r="K128" s="59"/>
      <c r="L128" s="59"/>
      <c r="M128" s="59"/>
      <c r="N128" s="58"/>
      <c r="O128" s="59"/>
      <c r="P128" s="59"/>
      <c r="Q128" s="59"/>
      <c r="R128" s="59"/>
      <c r="S128" s="58"/>
      <c r="T128" s="59"/>
      <c r="U128" s="59"/>
      <c r="V128" s="58"/>
      <c r="W128" s="58"/>
      <c r="X128" s="58"/>
      <c r="Y128" s="58"/>
    </row>
    <row r="129" spans="2:25" ht="22.5" customHeight="1">
      <c r="B129" s="58"/>
      <c r="C129" s="58"/>
      <c r="D129" s="59"/>
      <c r="E129" s="58"/>
      <c r="F129" s="58"/>
      <c r="G129" s="58"/>
      <c r="J129" s="59"/>
      <c r="K129" s="59"/>
      <c r="L129" s="59"/>
      <c r="M129" s="59"/>
      <c r="N129" s="58"/>
      <c r="O129" s="59"/>
      <c r="P129" s="59"/>
      <c r="Q129" s="59"/>
      <c r="R129" s="59"/>
      <c r="S129" s="58"/>
      <c r="T129" s="59"/>
      <c r="U129" s="59"/>
      <c r="V129" s="58"/>
      <c r="W129" s="58"/>
      <c r="X129" s="58"/>
      <c r="Y129" s="58"/>
    </row>
    <row r="130" spans="2:25" ht="22.5" customHeight="1">
      <c r="B130" s="58"/>
      <c r="C130" s="58"/>
      <c r="D130" s="59"/>
      <c r="E130" s="58"/>
      <c r="F130" s="58"/>
      <c r="G130" s="58"/>
      <c r="J130" s="59"/>
      <c r="K130" s="59"/>
      <c r="L130" s="59"/>
      <c r="M130" s="59"/>
      <c r="N130" s="58"/>
      <c r="O130" s="59"/>
      <c r="P130" s="59"/>
      <c r="Q130" s="59"/>
      <c r="R130" s="59"/>
      <c r="S130" s="58"/>
      <c r="T130" s="59"/>
      <c r="U130" s="59"/>
      <c r="V130" s="58"/>
      <c r="W130" s="58"/>
      <c r="X130" s="58"/>
      <c r="Y130" s="58"/>
    </row>
    <row r="131" spans="2:25" ht="22.5" customHeight="1">
      <c r="B131" s="58"/>
      <c r="C131" s="58"/>
      <c r="D131" s="59"/>
      <c r="E131" s="58"/>
      <c r="F131" s="58"/>
      <c r="G131" s="58"/>
      <c r="J131" s="59"/>
      <c r="K131" s="59"/>
      <c r="L131" s="59"/>
      <c r="M131" s="59"/>
      <c r="N131" s="58"/>
      <c r="O131" s="59"/>
      <c r="P131" s="59"/>
      <c r="Q131" s="59"/>
      <c r="R131" s="59"/>
      <c r="S131" s="58"/>
      <c r="T131" s="59"/>
      <c r="U131" s="59"/>
      <c r="V131" s="58"/>
      <c r="W131" s="58"/>
      <c r="X131" s="58"/>
      <c r="Y131" s="58"/>
    </row>
    <row r="132" spans="2:25" ht="22.5" customHeight="1">
      <c r="B132" s="58"/>
      <c r="C132" s="58"/>
      <c r="D132" s="59"/>
      <c r="E132" s="58"/>
      <c r="F132" s="58"/>
      <c r="G132" s="58"/>
      <c r="J132" s="59"/>
      <c r="K132" s="59"/>
      <c r="L132" s="59"/>
      <c r="M132" s="59"/>
      <c r="N132" s="58"/>
      <c r="O132" s="59"/>
      <c r="P132" s="59"/>
      <c r="Q132" s="59"/>
      <c r="R132" s="59"/>
      <c r="S132" s="58"/>
      <c r="T132" s="59"/>
      <c r="U132" s="59"/>
      <c r="V132" s="58"/>
      <c r="W132" s="58"/>
      <c r="X132" s="58"/>
      <c r="Y132" s="58"/>
    </row>
    <row r="133" spans="2:25" ht="22.5" customHeight="1">
      <c r="B133" s="58"/>
      <c r="C133" s="58"/>
      <c r="D133" s="59"/>
      <c r="E133" s="58"/>
      <c r="F133" s="58"/>
      <c r="G133" s="58"/>
      <c r="J133" s="59"/>
      <c r="K133" s="59"/>
      <c r="L133" s="59"/>
      <c r="M133" s="59"/>
      <c r="N133" s="58"/>
      <c r="O133" s="59"/>
      <c r="P133" s="59"/>
      <c r="Q133" s="59"/>
      <c r="R133" s="59"/>
      <c r="S133" s="58"/>
      <c r="T133" s="59"/>
      <c r="U133" s="59"/>
      <c r="V133" s="58"/>
      <c r="W133" s="58"/>
      <c r="X133" s="58"/>
      <c r="Y133" s="58"/>
    </row>
    <row r="134" spans="2:25" ht="22.5" customHeight="1">
      <c r="B134" s="58"/>
      <c r="C134" s="58"/>
      <c r="D134" s="59"/>
      <c r="E134" s="58"/>
      <c r="F134" s="58"/>
      <c r="G134" s="58"/>
      <c r="J134" s="59"/>
      <c r="K134" s="59"/>
      <c r="L134" s="59"/>
      <c r="M134" s="59"/>
      <c r="N134" s="58"/>
      <c r="O134" s="59"/>
      <c r="P134" s="59"/>
      <c r="Q134" s="59"/>
      <c r="R134" s="59"/>
      <c r="S134" s="58"/>
      <c r="T134" s="59"/>
      <c r="U134" s="59"/>
      <c r="V134" s="58"/>
      <c r="W134" s="58"/>
      <c r="X134" s="58"/>
      <c r="Y134" s="58"/>
    </row>
    <row r="135" spans="2:25" ht="22.5" customHeight="1">
      <c r="B135" s="58"/>
      <c r="C135" s="58"/>
      <c r="D135" s="59"/>
      <c r="E135" s="58"/>
      <c r="F135" s="58"/>
      <c r="G135" s="58"/>
      <c r="J135" s="59"/>
      <c r="K135" s="59"/>
      <c r="L135" s="59"/>
      <c r="M135" s="59"/>
      <c r="N135" s="58"/>
      <c r="O135" s="59"/>
      <c r="P135" s="59"/>
      <c r="Q135" s="59"/>
      <c r="R135" s="59"/>
      <c r="S135" s="58"/>
      <c r="T135" s="59"/>
      <c r="U135" s="59"/>
      <c r="V135" s="58"/>
      <c r="W135" s="58"/>
      <c r="X135" s="58"/>
      <c r="Y135" s="58"/>
    </row>
    <row r="136" spans="2:25" ht="22.5" customHeight="1">
      <c r="B136" s="58"/>
      <c r="C136" s="58"/>
      <c r="D136" s="59"/>
      <c r="E136" s="58"/>
      <c r="F136" s="58"/>
      <c r="G136" s="58"/>
      <c r="J136" s="59"/>
      <c r="K136" s="59"/>
      <c r="L136" s="59"/>
      <c r="M136" s="59"/>
      <c r="N136" s="58"/>
      <c r="O136" s="59"/>
      <c r="P136" s="59"/>
      <c r="Q136" s="59"/>
      <c r="R136" s="59"/>
      <c r="S136" s="58"/>
      <c r="T136" s="59"/>
      <c r="U136" s="59"/>
      <c r="V136" s="58"/>
      <c r="W136" s="58"/>
      <c r="X136" s="58"/>
      <c r="Y136" s="58"/>
    </row>
    <row r="137" spans="2:25" ht="22.5" customHeight="1">
      <c r="B137" s="58"/>
      <c r="C137" s="58"/>
      <c r="D137" s="59"/>
      <c r="E137" s="58"/>
      <c r="F137" s="58"/>
      <c r="G137" s="58"/>
      <c r="J137" s="59"/>
      <c r="K137" s="59"/>
      <c r="L137" s="59"/>
      <c r="M137" s="59"/>
      <c r="N137" s="58"/>
      <c r="O137" s="59"/>
      <c r="P137" s="59"/>
      <c r="Q137" s="59"/>
      <c r="R137" s="59"/>
      <c r="S137" s="58"/>
      <c r="T137" s="59"/>
      <c r="U137" s="59"/>
      <c r="V137" s="58"/>
      <c r="W137" s="58"/>
      <c r="X137" s="58"/>
      <c r="Y137" s="58"/>
    </row>
    <row r="138" spans="2:25" ht="22.5" customHeight="1">
      <c r="B138" s="58"/>
      <c r="C138" s="58"/>
      <c r="D138" s="59"/>
      <c r="E138" s="58"/>
      <c r="F138" s="58"/>
      <c r="G138" s="58"/>
      <c r="J138" s="59"/>
      <c r="K138" s="59"/>
      <c r="L138" s="59"/>
      <c r="M138" s="59"/>
      <c r="N138" s="58"/>
      <c r="O138" s="59"/>
      <c r="P138" s="59"/>
      <c r="Q138" s="59"/>
      <c r="R138" s="59"/>
      <c r="S138" s="58"/>
      <c r="T138" s="59"/>
      <c r="U138" s="59"/>
      <c r="V138" s="58"/>
      <c r="W138" s="58"/>
      <c r="X138" s="58"/>
      <c r="Y138" s="58"/>
    </row>
    <row r="139" spans="2:25" ht="22.5" customHeight="1">
      <c r="B139" s="58"/>
      <c r="C139" s="58"/>
      <c r="D139" s="59"/>
      <c r="E139" s="58"/>
      <c r="F139" s="58"/>
      <c r="G139" s="58"/>
      <c r="J139" s="59"/>
      <c r="K139" s="59"/>
      <c r="L139" s="59"/>
      <c r="M139" s="59"/>
      <c r="N139" s="58"/>
      <c r="O139" s="59"/>
      <c r="P139" s="59"/>
      <c r="Q139" s="59"/>
      <c r="R139" s="59"/>
      <c r="S139" s="58"/>
      <c r="T139" s="59"/>
      <c r="U139" s="59"/>
      <c r="V139" s="58"/>
      <c r="W139" s="58"/>
      <c r="X139" s="58"/>
      <c r="Y139" s="58"/>
    </row>
    <row r="140" spans="2:25" ht="22.5" customHeight="1">
      <c r="B140" s="58"/>
      <c r="C140" s="58"/>
      <c r="D140" s="59"/>
      <c r="E140" s="58"/>
      <c r="F140" s="58"/>
      <c r="G140" s="58"/>
      <c r="J140" s="59"/>
      <c r="K140" s="59"/>
      <c r="L140" s="59"/>
      <c r="M140" s="59"/>
      <c r="N140" s="58"/>
      <c r="O140" s="59"/>
      <c r="P140" s="59"/>
      <c r="Q140" s="59"/>
      <c r="R140" s="59"/>
      <c r="S140" s="58"/>
      <c r="T140" s="59"/>
      <c r="U140" s="59"/>
      <c r="V140" s="58"/>
      <c r="W140" s="58"/>
      <c r="X140" s="58"/>
      <c r="Y140" s="58"/>
    </row>
    <row r="141" spans="2:25" ht="22.5" customHeight="1">
      <c r="B141" s="58"/>
      <c r="C141" s="58"/>
      <c r="D141" s="59"/>
      <c r="E141" s="58"/>
      <c r="F141" s="58"/>
      <c r="G141" s="58"/>
      <c r="J141" s="59"/>
      <c r="K141" s="59"/>
      <c r="L141" s="59"/>
      <c r="M141" s="59"/>
      <c r="N141" s="58"/>
      <c r="O141" s="59"/>
      <c r="P141" s="59"/>
      <c r="Q141" s="59"/>
      <c r="R141" s="59"/>
      <c r="S141" s="58"/>
      <c r="T141" s="59"/>
      <c r="U141" s="59"/>
      <c r="V141" s="58"/>
      <c r="W141" s="58"/>
      <c r="X141" s="58"/>
      <c r="Y141" s="58"/>
    </row>
    <row r="142" spans="2:25" ht="22.5" customHeight="1">
      <c r="B142" s="58"/>
      <c r="C142" s="58"/>
      <c r="D142" s="59"/>
      <c r="E142" s="58"/>
      <c r="F142" s="58"/>
      <c r="G142" s="58"/>
      <c r="J142" s="59"/>
      <c r="K142" s="59"/>
      <c r="L142" s="59"/>
      <c r="M142" s="59"/>
      <c r="N142" s="58"/>
      <c r="O142" s="59"/>
      <c r="P142" s="59"/>
      <c r="Q142" s="59"/>
      <c r="R142" s="59"/>
      <c r="S142" s="58"/>
      <c r="T142" s="59"/>
      <c r="U142" s="59"/>
      <c r="V142" s="58"/>
      <c r="W142" s="58"/>
      <c r="X142" s="58"/>
      <c r="Y142" s="58"/>
    </row>
    <row r="143" spans="2:25" ht="22.5" customHeight="1">
      <c r="B143" s="58"/>
      <c r="C143" s="58"/>
      <c r="D143" s="59"/>
      <c r="E143" s="58"/>
      <c r="F143" s="58"/>
      <c r="G143" s="58"/>
      <c r="J143" s="59"/>
      <c r="K143" s="59"/>
      <c r="L143" s="59"/>
      <c r="M143" s="59"/>
      <c r="N143" s="58"/>
      <c r="O143" s="59"/>
      <c r="P143" s="59"/>
      <c r="Q143" s="59"/>
      <c r="R143" s="59"/>
      <c r="S143" s="58"/>
      <c r="T143" s="59"/>
      <c r="U143" s="59"/>
      <c r="V143" s="58"/>
      <c r="W143" s="58"/>
      <c r="X143" s="58"/>
      <c r="Y143" s="58"/>
    </row>
    <row r="144" spans="2:25" ht="22.5" customHeight="1">
      <c r="B144" s="58"/>
      <c r="C144" s="58"/>
      <c r="D144" s="59"/>
      <c r="E144" s="58"/>
      <c r="F144" s="58"/>
      <c r="G144" s="58"/>
      <c r="J144" s="59"/>
      <c r="K144" s="59"/>
      <c r="L144" s="59"/>
      <c r="M144" s="59"/>
      <c r="N144" s="58"/>
      <c r="O144" s="59"/>
      <c r="P144" s="59"/>
      <c r="Q144" s="59"/>
      <c r="R144" s="59"/>
      <c r="S144" s="58"/>
      <c r="T144" s="59"/>
      <c r="U144" s="59"/>
      <c r="V144" s="58"/>
      <c r="W144" s="58"/>
      <c r="X144" s="58"/>
      <c r="Y144" s="58"/>
    </row>
    <row r="145" spans="2:25" ht="22.5" customHeight="1">
      <c r="B145" s="58"/>
      <c r="C145" s="58"/>
      <c r="D145" s="59"/>
      <c r="E145" s="58"/>
      <c r="F145" s="58"/>
      <c r="G145" s="58"/>
      <c r="J145" s="59"/>
      <c r="K145" s="59"/>
      <c r="L145" s="59"/>
      <c r="M145" s="59"/>
      <c r="N145" s="58"/>
      <c r="O145" s="59"/>
      <c r="P145" s="59"/>
      <c r="Q145" s="59"/>
      <c r="R145" s="59"/>
      <c r="S145" s="58"/>
      <c r="T145" s="59"/>
      <c r="U145" s="59"/>
      <c r="V145" s="58"/>
      <c r="W145" s="58"/>
      <c r="X145" s="58"/>
      <c r="Y145" s="58"/>
    </row>
    <row r="146" spans="2:25" ht="22.5" customHeight="1">
      <c r="B146" s="58"/>
      <c r="C146" s="58"/>
      <c r="D146" s="59"/>
      <c r="E146" s="58"/>
      <c r="F146" s="58"/>
      <c r="G146" s="58"/>
      <c r="J146" s="59"/>
      <c r="K146" s="59"/>
      <c r="L146" s="59"/>
      <c r="M146" s="59"/>
      <c r="N146" s="58"/>
      <c r="O146" s="59"/>
      <c r="P146" s="59"/>
      <c r="Q146" s="59"/>
      <c r="R146" s="59"/>
      <c r="S146" s="58"/>
      <c r="T146" s="59"/>
      <c r="U146" s="59"/>
      <c r="V146" s="58"/>
      <c r="W146" s="58"/>
      <c r="X146" s="58"/>
      <c r="Y146" s="58"/>
    </row>
    <row r="147" spans="2:25" ht="22.5" customHeight="1">
      <c r="B147" s="58"/>
      <c r="C147" s="58"/>
      <c r="D147" s="59"/>
      <c r="E147" s="58"/>
      <c r="F147" s="58"/>
      <c r="G147" s="58"/>
      <c r="J147" s="59"/>
      <c r="K147" s="59"/>
      <c r="L147" s="59"/>
      <c r="M147" s="59"/>
      <c r="N147" s="58"/>
      <c r="O147" s="59"/>
      <c r="P147" s="59"/>
      <c r="Q147" s="59"/>
      <c r="R147" s="59"/>
      <c r="S147" s="58"/>
      <c r="T147" s="59"/>
      <c r="U147" s="59"/>
      <c r="V147" s="58"/>
      <c r="W147" s="58"/>
      <c r="X147" s="58"/>
      <c r="Y147" s="58"/>
    </row>
    <row r="148" spans="2:25" ht="22.5" customHeight="1">
      <c r="B148" s="58"/>
      <c r="C148" s="58"/>
      <c r="D148" s="59"/>
      <c r="E148" s="58"/>
      <c r="F148" s="58"/>
      <c r="G148" s="58"/>
      <c r="J148" s="59"/>
      <c r="K148" s="59"/>
      <c r="L148" s="59"/>
      <c r="M148" s="59"/>
      <c r="N148" s="58"/>
      <c r="O148" s="59"/>
      <c r="P148" s="59"/>
      <c r="Q148" s="59"/>
      <c r="R148" s="59"/>
      <c r="S148" s="58"/>
      <c r="T148" s="59"/>
      <c r="U148" s="59"/>
      <c r="V148" s="58"/>
      <c r="W148" s="58"/>
      <c r="X148" s="58"/>
      <c r="Y148" s="58"/>
    </row>
    <row r="149" spans="2:25" ht="22.5" customHeight="1">
      <c r="B149" s="58"/>
      <c r="C149" s="58"/>
      <c r="D149" s="59"/>
      <c r="E149" s="58"/>
      <c r="F149" s="58"/>
      <c r="G149" s="58"/>
      <c r="J149" s="59"/>
      <c r="K149" s="59"/>
      <c r="L149" s="59"/>
      <c r="M149" s="59"/>
      <c r="N149" s="58"/>
      <c r="O149" s="59"/>
      <c r="P149" s="59"/>
      <c r="Q149" s="59"/>
      <c r="R149" s="59"/>
      <c r="S149" s="58"/>
      <c r="T149" s="59"/>
      <c r="U149" s="59"/>
      <c r="V149" s="58"/>
      <c r="W149" s="58"/>
      <c r="X149" s="58"/>
      <c r="Y149" s="58"/>
    </row>
    <row r="150" spans="2:25" ht="22.5" customHeight="1">
      <c r="B150" s="58"/>
      <c r="C150" s="58"/>
      <c r="D150" s="59"/>
      <c r="E150" s="58"/>
      <c r="F150" s="58"/>
      <c r="G150" s="58"/>
      <c r="J150" s="59"/>
      <c r="K150" s="59"/>
      <c r="L150" s="59"/>
      <c r="M150" s="59"/>
      <c r="N150" s="58"/>
      <c r="O150" s="59"/>
      <c r="P150" s="59"/>
      <c r="Q150" s="59"/>
      <c r="R150" s="59"/>
      <c r="S150" s="58"/>
      <c r="T150" s="59"/>
      <c r="U150" s="59"/>
      <c r="V150" s="58"/>
      <c r="W150" s="58"/>
      <c r="X150" s="58"/>
      <c r="Y150" s="58"/>
    </row>
    <row r="151" spans="2:25" ht="22.5" customHeight="1">
      <c r="B151" s="58"/>
      <c r="C151" s="58"/>
      <c r="D151" s="59"/>
      <c r="E151" s="58"/>
      <c r="F151" s="58"/>
      <c r="G151" s="58"/>
      <c r="J151" s="59"/>
      <c r="K151" s="59"/>
      <c r="L151" s="59"/>
      <c r="M151" s="59"/>
      <c r="N151" s="58"/>
      <c r="O151" s="59"/>
      <c r="P151" s="59"/>
      <c r="Q151" s="59"/>
      <c r="R151" s="59"/>
      <c r="S151" s="58"/>
      <c r="T151" s="59"/>
      <c r="U151" s="59"/>
      <c r="V151" s="58"/>
      <c r="W151" s="58"/>
      <c r="X151" s="58"/>
      <c r="Y151" s="58"/>
    </row>
    <row r="152" spans="2:25" ht="22.5" customHeight="1">
      <c r="B152" s="58"/>
      <c r="C152" s="58"/>
      <c r="D152" s="59"/>
      <c r="E152" s="58"/>
      <c r="F152" s="58"/>
      <c r="G152" s="58"/>
      <c r="J152" s="59"/>
      <c r="K152" s="59"/>
      <c r="L152" s="59"/>
      <c r="M152" s="59"/>
      <c r="N152" s="58"/>
      <c r="O152" s="59"/>
      <c r="P152" s="59"/>
      <c r="Q152" s="59"/>
      <c r="R152" s="59"/>
      <c r="S152" s="58"/>
      <c r="T152" s="59"/>
      <c r="U152" s="59"/>
      <c r="V152" s="58"/>
      <c r="W152" s="58"/>
      <c r="X152" s="58"/>
      <c r="Y152" s="58"/>
    </row>
    <row r="153" spans="2:25" ht="22.5" customHeight="1">
      <c r="B153" s="58"/>
      <c r="C153" s="58"/>
      <c r="D153" s="59"/>
      <c r="E153" s="58"/>
      <c r="F153" s="58"/>
      <c r="G153" s="58"/>
      <c r="J153" s="59"/>
      <c r="K153" s="59"/>
      <c r="L153" s="59"/>
      <c r="M153" s="59"/>
      <c r="N153" s="58"/>
      <c r="O153" s="59"/>
      <c r="P153" s="59"/>
      <c r="Q153" s="59"/>
      <c r="R153" s="59"/>
      <c r="S153" s="58"/>
      <c r="T153" s="59"/>
      <c r="U153" s="59"/>
      <c r="V153" s="58"/>
      <c r="W153" s="58"/>
      <c r="X153" s="58"/>
      <c r="Y153" s="58"/>
    </row>
    <row r="154" spans="2:25" ht="22.5" customHeight="1">
      <c r="B154" s="58"/>
      <c r="C154" s="58"/>
      <c r="D154" s="59"/>
      <c r="E154" s="58"/>
      <c r="F154" s="58"/>
      <c r="G154" s="58"/>
      <c r="J154" s="59"/>
      <c r="K154" s="59"/>
      <c r="L154" s="59"/>
      <c r="M154" s="59"/>
      <c r="N154" s="58"/>
      <c r="O154" s="59"/>
      <c r="P154" s="59"/>
      <c r="Q154" s="59"/>
      <c r="R154" s="59"/>
      <c r="S154" s="58"/>
      <c r="T154" s="59"/>
      <c r="U154" s="59"/>
      <c r="V154" s="58"/>
      <c r="W154" s="58"/>
      <c r="X154" s="58"/>
      <c r="Y154" s="58"/>
    </row>
    <row r="155" spans="2:25" ht="22.5" customHeight="1">
      <c r="B155" s="58"/>
      <c r="C155" s="58"/>
      <c r="D155" s="59"/>
      <c r="E155" s="58"/>
      <c r="F155" s="58"/>
      <c r="G155" s="58"/>
      <c r="J155" s="59"/>
      <c r="K155" s="59"/>
      <c r="L155" s="59"/>
      <c r="M155" s="59"/>
      <c r="N155" s="58"/>
      <c r="O155" s="59"/>
      <c r="P155" s="59"/>
      <c r="Q155" s="59"/>
      <c r="R155" s="59"/>
      <c r="S155" s="58"/>
      <c r="T155" s="59"/>
      <c r="U155" s="59"/>
      <c r="V155" s="58"/>
      <c r="W155" s="58"/>
      <c r="X155" s="58"/>
      <c r="Y155" s="58"/>
    </row>
    <row r="156" spans="2:25" ht="22.5" customHeight="1">
      <c r="B156" s="58"/>
      <c r="C156" s="58"/>
      <c r="D156" s="59"/>
      <c r="E156" s="58"/>
      <c r="F156" s="58"/>
      <c r="G156" s="58"/>
      <c r="J156" s="59"/>
      <c r="K156" s="59"/>
      <c r="L156" s="59"/>
      <c r="M156" s="59"/>
      <c r="N156" s="58"/>
      <c r="O156" s="59"/>
      <c r="P156" s="59"/>
      <c r="Q156" s="59"/>
      <c r="R156" s="59"/>
      <c r="S156" s="58"/>
      <c r="T156" s="59"/>
      <c r="U156" s="59"/>
      <c r="V156" s="58"/>
      <c r="W156" s="58"/>
      <c r="X156" s="58"/>
      <c r="Y156" s="58"/>
    </row>
    <row r="157" spans="2:25" ht="22.5" customHeight="1">
      <c r="B157" s="58"/>
      <c r="C157" s="58"/>
      <c r="D157" s="59"/>
      <c r="E157" s="58"/>
      <c r="F157" s="58"/>
      <c r="G157" s="58"/>
      <c r="J157" s="59"/>
      <c r="K157" s="59"/>
      <c r="L157" s="59"/>
      <c r="M157" s="59"/>
      <c r="N157" s="58"/>
      <c r="O157" s="59"/>
      <c r="P157" s="59"/>
      <c r="Q157" s="59"/>
      <c r="R157" s="59"/>
      <c r="S157" s="58"/>
      <c r="T157" s="59"/>
      <c r="U157" s="59"/>
      <c r="V157" s="58"/>
      <c r="W157" s="58"/>
      <c r="X157" s="58"/>
      <c r="Y157" s="58"/>
    </row>
    <row r="158" spans="2:25" ht="22.5" customHeight="1">
      <c r="B158" s="58"/>
      <c r="C158" s="58"/>
      <c r="D158" s="59"/>
      <c r="E158" s="58"/>
      <c r="F158" s="58"/>
      <c r="G158" s="58"/>
      <c r="J158" s="59"/>
      <c r="K158" s="59"/>
      <c r="L158" s="59"/>
      <c r="M158" s="59"/>
      <c r="N158" s="58"/>
      <c r="O158" s="59"/>
      <c r="P158" s="59"/>
      <c r="Q158" s="59"/>
      <c r="R158" s="59"/>
      <c r="S158" s="58"/>
      <c r="T158" s="59"/>
      <c r="U158" s="59"/>
      <c r="V158" s="58"/>
      <c r="W158" s="58"/>
      <c r="X158" s="58"/>
      <c r="Y158" s="58"/>
    </row>
    <row r="159" spans="2:25" ht="22.5" customHeight="1">
      <c r="B159" s="58"/>
      <c r="C159" s="58"/>
      <c r="D159" s="59"/>
      <c r="E159" s="58"/>
      <c r="F159" s="58"/>
      <c r="G159" s="58"/>
      <c r="J159" s="59"/>
      <c r="K159" s="59"/>
      <c r="L159" s="59"/>
      <c r="M159" s="59"/>
      <c r="N159" s="58"/>
      <c r="O159" s="59"/>
      <c r="P159" s="59"/>
      <c r="Q159" s="59"/>
      <c r="R159" s="59"/>
      <c r="S159" s="58"/>
      <c r="T159" s="59"/>
      <c r="U159" s="59"/>
      <c r="V159" s="58"/>
      <c r="W159" s="58"/>
      <c r="X159" s="58"/>
      <c r="Y159" s="58"/>
    </row>
    <row r="160" spans="2:25" ht="22.5" customHeight="1">
      <c r="B160" s="58"/>
      <c r="C160" s="58"/>
      <c r="D160" s="59"/>
      <c r="E160" s="58"/>
      <c r="F160" s="58"/>
      <c r="G160" s="58"/>
      <c r="J160" s="59"/>
      <c r="K160" s="59"/>
      <c r="L160" s="59"/>
      <c r="M160" s="59"/>
      <c r="N160" s="58"/>
      <c r="O160" s="59"/>
      <c r="P160" s="59"/>
      <c r="Q160" s="59"/>
      <c r="R160" s="59"/>
      <c r="S160" s="58"/>
      <c r="T160" s="59"/>
      <c r="U160" s="59"/>
      <c r="V160" s="58"/>
      <c r="W160" s="58"/>
      <c r="X160" s="58"/>
      <c r="Y160" s="58"/>
    </row>
    <row r="161" spans="2:25" ht="22.5" customHeight="1">
      <c r="B161" s="58"/>
      <c r="C161" s="58"/>
      <c r="D161" s="59"/>
      <c r="E161" s="58"/>
      <c r="F161" s="58"/>
      <c r="G161" s="58"/>
      <c r="J161" s="59"/>
      <c r="K161" s="59"/>
      <c r="L161" s="59"/>
      <c r="M161" s="59"/>
      <c r="N161" s="58"/>
      <c r="O161" s="59"/>
      <c r="P161" s="59"/>
      <c r="Q161" s="59"/>
      <c r="R161" s="59"/>
      <c r="S161" s="58"/>
      <c r="T161" s="59"/>
      <c r="U161" s="59"/>
      <c r="V161" s="58"/>
      <c r="W161" s="58"/>
      <c r="X161" s="58"/>
      <c r="Y161" s="58"/>
    </row>
    <row r="162" spans="2:25" ht="22.5" customHeight="1">
      <c r="B162" s="58"/>
      <c r="C162" s="58"/>
      <c r="D162" s="59"/>
      <c r="E162" s="58"/>
      <c r="F162" s="58"/>
      <c r="G162" s="58"/>
      <c r="J162" s="59"/>
      <c r="K162" s="59"/>
      <c r="L162" s="59"/>
      <c r="M162" s="59"/>
      <c r="N162" s="58"/>
      <c r="O162" s="59"/>
      <c r="P162" s="59"/>
      <c r="Q162" s="59"/>
      <c r="R162" s="59"/>
      <c r="S162" s="58"/>
      <c r="T162" s="59"/>
      <c r="U162" s="59"/>
      <c r="V162" s="58"/>
      <c r="W162" s="58"/>
      <c r="X162" s="58"/>
      <c r="Y162" s="58"/>
    </row>
    <row r="163" spans="2:25" ht="22.5" customHeight="1">
      <c r="B163" s="58"/>
      <c r="C163" s="58"/>
      <c r="D163" s="59"/>
      <c r="E163" s="58"/>
      <c r="F163" s="58"/>
      <c r="G163" s="58"/>
      <c r="J163" s="59"/>
      <c r="K163" s="59"/>
      <c r="L163" s="59"/>
      <c r="M163" s="59"/>
      <c r="N163" s="58"/>
      <c r="O163" s="59"/>
      <c r="P163" s="59"/>
      <c r="Q163" s="59"/>
      <c r="R163" s="59"/>
      <c r="S163" s="58"/>
      <c r="T163" s="59"/>
      <c r="U163" s="59"/>
      <c r="V163" s="58"/>
      <c r="W163" s="58"/>
      <c r="X163" s="58"/>
      <c r="Y163" s="58"/>
    </row>
    <row r="164" spans="2:25" ht="22.5" customHeight="1">
      <c r="B164" s="58"/>
      <c r="C164" s="58"/>
      <c r="D164" s="59"/>
      <c r="E164" s="58"/>
      <c r="F164" s="58"/>
      <c r="G164" s="58"/>
      <c r="J164" s="59"/>
      <c r="K164" s="59"/>
      <c r="L164" s="59"/>
      <c r="M164" s="59"/>
      <c r="N164" s="58"/>
      <c r="O164" s="59"/>
      <c r="P164" s="59"/>
      <c r="Q164" s="59"/>
      <c r="R164" s="59"/>
      <c r="S164" s="58"/>
      <c r="T164" s="59"/>
      <c r="U164" s="59"/>
      <c r="V164" s="58"/>
      <c r="W164" s="58"/>
      <c r="X164" s="58"/>
      <c r="Y164" s="58"/>
    </row>
    <row r="165" spans="2:25" ht="22.5" customHeight="1">
      <c r="B165" s="58"/>
      <c r="C165" s="58"/>
      <c r="D165" s="59"/>
      <c r="E165" s="58"/>
      <c r="F165" s="58"/>
      <c r="G165" s="58"/>
      <c r="J165" s="59"/>
      <c r="K165" s="59"/>
      <c r="L165" s="59"/>
      <c r="M165" s="59"/>
      <c r="N165" s="58"/>
      <c r="O165" s="59"/>
      <c r="P165" s="59"/>
      <c r="Q165" s="59"/>
      <c r="R165" s="59"/>
      <c r="S165" s="58"/>
      <c r="T165" s="59"/>
      <c r="U165" s="59"/>
      <c r="V165" s="58"/>
      <c r="W165" s="58"/>
      <c r="X165" s="58"/>
      <c r="Y165" s="58"/>
    </row>
    <row r="166" spans="2:25" ht="22.5" customHeight="1">
      <c r="B166" s="58"/>
      <c r="C166" s="58"/>
      <c r="D166" s="59"/>
      <c r="E166" s="58"/>
      <c r="F166" s="58"/>
      <c r="G166" s="58"/>
      <c r="J166" s="59"/>
      <c r="K166" s="59"/>
      <c r="L166" s="59"/>
      <c r="M166" s="59"/>
      <c r="N166" s="58"/>
      <c r="O166" s="59"/>
      <c r="P166" s="59"/>
      <c r="Q166" s="59"/>
      <c r="R166" s="59"/>
      <c r="S166" s="58"/>
      <c r="T166" s="59"/>
      <c r="U166" s="59"/>
      <c r="V166" s="58"/>
      <c r="W166" s="58"/>
      <c r="X166" s="58"/>
      <c r="Y166" s="58"/>
    </row>
    <row r="167" spans="2:25" ht="22.5" customHeight="1">
      <c r="B167" s="58"/>
      <c r="C167" s="58"/>
      <c r="D167" s="59"/>
      <c r="E167" s="58"/>
      <c r="F167" s="58"/>
      <c r="G167" s="58"/>
      <c r="J167" s="59"/>
      <c r="K167" s="59"/>
      <c r="L167" s="59"/>
      <c r="M167" s="59"/>
      <c r="N167" s="58"/>
      <c r="O167" s="59"/>
      <c r="P167" s="59"/>
      <c r="Q167" s="59"/>
      <c r="R167" s="59"/>
      <c r="S167" s="58"/>
      <c r="T167" s="59"/>
      <c r="U167" s="59"/>
      <c r="V167" s="58"/>
      <c r="W167" s="58"/>
      <c r="X167" s="58"/>
      <c r="Y167" s="58"/>
    </row>
    <row r="168" spans="2:25" ht="22.5" customHeight="1">
      <c r="B168" s="58"/>
      <c r="C168" s="58"/>
      <c r="D168" s="59"/>
      <c r="E168" s="58"/>
      <c r="F168" s="58"/>
      <c r="G168" s="58"/>
      <c r="J168" s="59"/>
      <c r="K168" s="59"/>
      <c r="L168" s="59"/>
      <c r="M168" s="59"/>
      <c r="N168" s="58"/>
      <c r="O168" s="59"/>
      <c r="P168" s="59"/>
      <c r="Q168" s="59"/>
      <c r="R168" s="59"/>
      <c r="S168" s="58"/>
      <c r="T168" s="59"/>
      <c r="U168" s="59"/>
      <c r="V168" s="58"/>
      <c r="W168" s="58"/>
      <c r="X168" s="58"/>
      <c r="Y168" s="58"/>
    </row>
    <row r="169" spans="2:25" ht="22.5" customHeight="1">
      <c r="B169" s="58"/>
      <c r="C169" s="58"/>
      <c r="D169" s="59"/>
      <c r="E169" s="58"/>
      <c r="F169" s="58"/>
      <c r="G169" s="58"/>
      <c r="J169" s="59"/>
      <c r="K169" s="59"/>
      <c r="L169" s="59"/>
      <c r="M169" s="59"/>
      <c r="N169" s="58"/>
      <c r="O169" s="59"/>
      <c r="P169" s="59"/>
      <c r="Q169" s="59"/>
      <c r="R169" s="59"/>
      <c r="S169" s="58"/>
      <c r="T169" s="59"/>
      <c r="U169" s="59"/>
      <c r="V169" s="58"/>
      <c r="W169" s="58"/>
      <c r="X169" s="58"/>
      <c r="Y169" s="58"/>
    </row>
    <row r="170" spans="2:25" ht="22.5" customHeight="1">
      <c r="B170" s="58"/>
      <c r="C170" s="58"/>
      <c r="D170" s="59"/>
      <c r="E170" s="58"/>
      <c r="F170" s="58"/>
      <c r="G170" s="58"/>
      <c r="J170" s="59"/>
      <c r="K170" s="59"/>
      <c r="L170" s="59"/>
      <c r="M170" s="59"/>
      <c r="N170" s="58"/>
      <c r="O170" s="59"/>
      <c r="P170" s="59"/>
      <c r="Q170" s="59"/>
      <c r="R170" s="59"/>
      <c r="S170" s="58"/>
      <c r="T170" s="59"/>
      <c r="U170" s="59"/>
      <c r="V170" s="58"/>
      <c r="W170" s="58"/>
      <c r="X170" s="58"/>
      <c r="Y170" s="58"/>
    </row>
    <row r="171" spans="2:25" ht="22.5" customHeight="1">
      <c r="B171" s="58"/>
      <c r="C171" s="58"/>
      <c r="D171" s="59"/>
      <c r="E171" s="58"/>
      <c r="F171" s="58"/>
      <c r="G171" s="58"/>
      <c r="J171" s="59"/>
      <c r="K171" s="59"/>
      <c r="L171" s="59"/>
      <c r="M171" s="59"/>
      <c r="N171" s="58"/>
      <c r="O171" s="59"/>
      <c r="P171" s="59"/>
      <c r="Q171" s="59"/>
      <c r="R171" s="59"/>
      <c r="S171" s="58"/>
      <c r="T171" s="59"/>
      <c r="U171" s="59"/>
      <c r="V171" s="58"/>
      <c r="W171" s="58"/>
      <c r="X171" s="58"/>
      <c r="Y171" s="58"/>
    </row>
    <row r="172" spans="2:25" ht="22.5" customHeight="1">
      <c r="B172" s="58"/>
      <c r="C172" s="58"/>
      <c r="D172" s="59"/>
      <c r="E172" s="58"/>
      <c r="F172" s="58"/>
      <c r="G172" s="58"/>
      <c r="J172" s="59"/>
      <c r="K172" s="59"/>
      <c r="L172" s="59"/>
      <c r="M172" s="59"/>
      <c r="N172" s="58"/>
      <c r="O172" s="59"/>
      <c r="P172" s="59"/>
      <c r="Q172" s="59"/>
      <c r="R172" s="59"/>
      <c r="S172" s="58"/>
      <c r="T172" s="59"/>
      <c r="U172" s="59"/>
      <c r="V172" s="58"/>
      <c r="W172" s="58"/>
      <c r="X172" s="58"/>
      <c r="Y172" s="58"/>
    </row>
    <row r="173" spans="2:25" ht="22.5" customHeight="1">
      <c r="B173" s="58"/>
      <c r="C173" s="58"/>
      <c r="D173" s="59"/>
      <c r="E173" s="58"/>
      <c r="F173" s="58"/>
      <c r="G173" s="58"/>
      <c r="J173" s="59"/>
      <c r="K173" s="59"/>
      <c r="L173" s="59"/>
      <c r="M173" s="59"/>
      <c r="N173" s="58"/>
      <c r="O173" s="59"/>
      <c r="P173" s="59"/>
      <c r="Q173" s="59"/>
      <c r="R173" s="59"/>
      <c r="S173" s="58"/>
      <c r="T173" s="59"/>
      <c r="U173" s="59"/>
      <c r="V173" s="58"/>
      <c r="W173" s="58"/>
      <c r="X173" s="58"/>
      <c r="Y173" s="58"/>
    </row>
    <row r="174" spans="2:25" ht="22.5" customHeight="1">
      <c r="B174" s="58"/>
      <c r="C174" s="58"/>
      <c r="D174" s="59"/>
      <c r="E174" s="58"/>
      <c r="F174" s="58"/>
      <c r="G174" s="58"/>
      <c r="J174" s="59"/>
      <c r="K174" s="59"/>
      <c r="L174" s="59"/>
      <c r="M174" s="59"/>
      <c r="N174" s="58"/>
      <c r="O174" s="59"/>
      <c r="P174" s="59"/>
      <c r="Q174" s="59"/>
      <c r="R174" s="59"/>
      <c r="S174" s="58"/>
      <c r="T174" s="59"/>
      <c r="U174" s="59"/>
      <c r="V174" s="58"/>
      <c r="W174" s="58"/>
      <c r="X174" s="58"/>
      <c r="Y174" s="58"/>
    </row>
    <row r="175" spans="2:25" ht="22.5" customHeight="1">
      <c r="B175" s="58"/>
      <c r="C175" s="58"/>
      <c r="D175" s="59"/>
      <c r="E175" s="58"/>
      <c r="F175" s="58"/>
      <c r="G175" s="58"/>
      <c r="J175" s="59"/>
      <c r="K175" s="59"/>
      <c r="L175" s="59"/>
      <c r="M175" s="59"/>
      <c r="N175" s="58"/>
      <c r="O175" s="59"/>
      <c r="P175" s="59"/>
      <c r="Q175" s="59"/>
      <c r="R175" s="59"/>
      <c r="S175" s="58"/>
      <c r="T175" s="59"/>
      <c r="U175" s="59"/>
      <c r="V175" s="58"/>
      <c r="W175" s="58"/>
      <c r="X175" s="58"/>
      <c r="Y175" s="58"/>
    </row>
    <row r="176" spans="2:25" ht="22.5" customHeight="1">
      <c r="B176" s="58"/>
      <c r="C176" s="58"/>
      <c r="D176" s="59"/>
      <c r="E176" s="58"/>
      <c r="F176" s="58"/>
      <c r="G176" s="58"/>
      <c r="J176" s="59"/>
      <c r="K176" s="59"/>
      <c r="L176" s="59"/>
      <c r="M176" s="59"/>
      <c r="N176" s="58"/>
      <c r="O176" s="59"/>
      <c r="P176" s="59"/>
      <c r="Q176" s="59"/>
      <c r="R176" s="59"/>
      <c r="S176" s="58"/>
      <c r="T176" s="59"/>
      <c r="U176" s="59"/>
      <c r="V176" s="58"/>
      <c r="W176" s="58"/>
      <c r="X176" s="58"/>
      <c r="Y176" s="58"/>
    </row>
    <row r="177" spans="2:25" ht="22.5" customHeight="1">
      <c r="B177" s="58"/>
      <c r="C177" s="58"/>
      <c r="D177" s="59"/>
      <c r="E177" s="58"/>
      <c r="F177" s="58"/>
      <c r="G177" s="58"/>
      <c r="J177" s="59"/>
      <c r="K177" s="59"/>
      <c r="L177" s="59"/>
      <c r="M177" s="59"/>
      <c r="N177" s="58"/>
      <c r="O177" s="59"/>
      <c r="P177" s="59"/>
      <c r="Q177" s="59"/>
      <c r="R177" s="59"/>
      <c r="S177" s="58"/>
      <c r="T177" s="59"/>
      <c r="U177" s="59"/>
      <c r="V177" s="58"/>
      <c r="W177" s="58"/>
      <c r="X177" s="58"/>
      <c r="Y177" s="58"/>
    </row>
    <row r="178" spans="2:25" ht="22.5" customHeight="1">
      <c r="B178" s="58"/>
      <c r="C178" s="58"/>
      <c r="D178" s="59"/>
      <c r="E178" s="58"/>
      <c r="F178" s="58"/>
      <c r="G178" s="58"/>
      <c r="J178" s="59"/>
      <c r="K178" s="59"/>
      <c r="L178" s="59"/>
      <c r="M178" s="59"/>
      <c r="N178" s="58"/>
      <c r="O178" s="59"/>
      <c r="P178" s="59"/>
      <c r="Q178" s="59"/>
      <c r="R178" s="59"/>
      <c r="S178" s="58"/>
      <c r="T178" s="59"/>
      <c r="U178" s="59"/>
      <c r="V178" s="58"/>
      <c r="W178" s="58"/>
      <c r="X178" s="58"/>
      <c r="Y178" s="58"/>
    </row>
    <row r="179" spans="2:25" ht="22.5" customHeight="1">
      <c r="B179" s="58"/>
      <c r="C179" s="58"/>
      <c r="D179" s="59"/>
      <c r="E179" s="58"/>
      <c r="F179" s="58"/>
      <c r="G179" s="58"/>
      <c r="J179" s="59"/>
      <c r="K179" s="59"/>
      <c r="L179" s="59"/>
      <c r="M179" s="59"/>
      <c r="N179" s="58"/>
      <c r="O179" s="59"/>
      <c r="P179" s="59"/>
      <c r="Q179" s="59"/>
      <c r="R179" s="59"/>
      <c r="S179" s="58"/>
      <c r="T179" s="59"/>
      <c r="U179" s="59"/>
      <c r="V179" s="58"/>
      <c r="W179" s="58"/>
      <c r="X179" s="58"/>
      <c r="Y179" s="58"/>
    </row>
    <row r="180" spans="2:25" ht="22.5" customHeight="1">
      <c r="B180" s="58"/>
      <c r="C180" s="58"/>
      <c r="D180" s="59"/>
      <c r="E180" s="58"/>
      <c r="F180" s="58"/>
      <c r="G180" s="58"/>
      <c r="J180" s="59"/>
      <c r="K180" s="59"/>
      <c r="L180" s="59"/>
      <c r="M180" s="59"/>
      <c r="N180" s="58"/>
      <c r="O180" s="59"/>
      <c r="P180" s="59"/>
      <c r="Q180" s="59"/>
      <c r="R180" s="59"/>
      <c r="S180" s="58"/>
      <c r="T180" s="59"/>
      <c r="U180" s="59"/>
      <c r="V180" s="58"/>
      <c r="W180" s="58"/>
      <c r="X180" s="58"/>
      <c r="Y180" s="58"/>
    </row>
    <row r="181" spans="2:25" ht="22.5" customHeight="1">
      <c r="B181" s="58"/>
      <c r="C181" s="58"/>
      <c r="D181" s="59"/>
      <c r="E181" s="58"/>
      <c r="F181" s="58"/>
      <c r="G181" s="58"/>
      <c r="J181" s="59"/>
      <c r="K181" s="59"/>
      <c r="L181" s="59"/>
      <c r="M181" s="59"/>
      <c r="N181" s="58"/>
      <c r="O181" s="59"/>
      <c r="P181" s="59"/>
      <c r="Q181" s="59"/>
      <c r="R181" s="59"/>
      <c r="S181" s="58"/>
      <c r="T181" s="59"/>
      <c r="U181" s="59"/>
      <c r="V181" s="58"/>
      <c r="W181" s="58"/>
      <c r="X181" s="58"/>
      <c r="Y181" s="58"/>
    </row>
    <row r="182" spans="2:25" ht="22.5" customHeight="1">
      <c r="B182" s="58"/>
      <c r="C182" s="58"/>
      <c r="D182" s="59"/>
      <c r="E182" s="58"/>
      <c r="F182" s="58"/>
      <c r="G182" s="58"/>
      <c r="J182" s="59"/>
      <c r="K182" s="59"/>
      <c r="L182" s="59"/>
      <c r="M182" s="59"/>
      <c r="N182" s="58"/>
      <c r="O182" s="59"/>
      <c r="P182" s="59"/>
      <c r="Q182" s="59"/>
      <c r="R182" s="59"/>
      <c r="S182" s="58"/>
      <c r="T182" s="59"/>
      <c r="U182" s="59"/>
      <c r="V182" s="58"/>
      <c r="W182" s="58"/>
      <c r="X182" s="58"/>
      <c r="Y182" s="58"/>
    </row>
    <row r="183" spans="2:25" ht="22.5" customHeight="1">
      <c r="B183" s="58"/>
      <c r="C183" s="58"/>
      <c r="D183" s="59"/>
      <c r="E183" s="58"/>
      <c r="F183" s="58"/>
      <c r="G183" s="58"/>
      <c r="J183" s="59"/>
      <c r="K183" s="59"/>
      <c r="L183" s="59"/>
      <c r="M183" s="59"/>
      <c r="N183" s="58"/>
      <c r="O183" s="59"/>
      <c r="P183" s="59"/>
      <c r="Q183" s="59"/>
      <c r="R183" s="59"/>
      <c r="S183" s="58"/>
      <c r="T183" s="59"/>
      <c r="U183" s="59"/>
      <c r="V183" s="58"/>
      <c r="W183" s="58"/>
      <c r="X183" s="58"/>
      <c r="Y183" s="58"/>
    </row>
    <row r="184" spans="2:25" ht="22.5" customHeight="1">
      <c r="B184" s="58"/>
      <c r="C184" s="58"/>
      <c r="D184" s="59"/>
      <c r="E184" s="58"/>
      <c r="F184" s="58"/>
      <c r="G184" s="58"/>
      <c r="J184" s="59"/>
      <c r="K184" s="59"/>
      <c r="L184" s="59"/>
      <c r="M184" s="59"/>
      <c r="N184" s="58"/>
      <c r="O184" s="59"/>
      <c r="P184" s="59"/>
      <c r="Q184" s="59"/>
      <c r="R184" s="59"/>
      <c r="S184" s="58"/>
      <c r="T184" s="59"/>
      <c r="U184" s="59"/>
      <c r="V184" s="58"/>
      <c r="W184" s="58"/>
      <c r="X184" s="58"/>
      <c r="Y184" s="58"/>
    </row>
    <row r="185" spans="2:25" ht="22.5" customHeight="1">
      <c r="B185" s="58"/>
      <c r="C185" s="58"/>
      <c r="D185" s="59"/>
      <c r="E185" s="58"/>
      <c r="F185" s="58"/>
      <c r="G185" s="58"/>
      <c r="J185" s="59"/>
      <c r="K185" s="59"/>
      <c r="L185" s="59"/>
      <c r="M185" s="59"/>
      <c r="N185" s="58"/>
      <c r="O185" s="59"/>
      <c r="P185" s="59"/>
      <c r="Q185" s="59"/>
      <c r="R185" s="59"/>
      <c r="S185" s="58"/>
      <c r="T185" s="59"/>
      <c r="U185" s="59"/>
      <c r="V185" s="58"/>
      <c r="W185" s="58"/>
      <c r="X185" s="58"/>
      <c r="Y185" s="58"/>
    </row>
    <row r="186" spans="2:25" ht="22.5" customHeight="1">
      <c r="B186" s="58"/>
      <c r="C186" s="58"/>
      <c r="D186" s="59"/>
      <c r="E186" s="58"/>
      <c r="F186" s="58"/>
      <c r="G186" s="58"/>
      <c r="J186" s="59"/>
      <c r="K186" s="59"/>
      <c r="L186" s="59"/>
      <c r="M186" s="59"/>
      <c r="N186" s="58"/>
      <c r="O186" s="59"/>
      <c r="P186" s="59"/>
      <c r="Q186" s="59"/>
      <c r="R186" s="59"/>
      <c r="S186" s="58"/>
      <c r="T186" s="59"/>
      <c r="U186" s="59"/>
      <c r="V186" s="58"/>
      <c r="W186" s="58"/>
      <c r="X186" s="58"/>
      <c r="Y186" s="58"/>
    </row>
    <row r="187" spans="2:25" ht="22.5" customHeight="1">
      <c r="B187" s="58"/>
      <c r="C187" s="58"/>
      <c r="D187" s="59"/>
      <c r="E187" s="58"/>
      <c r="F187" s="58"/>
      <c r="G187" s="58"/>
      <c r="J187" s="59"/>
      <c r="K187" s="59"/>
      <c r="L187" s="59"/>
      <c r="M187" s="59"/>
      <c r="N187" s="58"/>
      <c r="O187" s="59"/>
      <c r="P187" s="59"/>
      <c r="Q187" s="59"/>
      <c r="R187" s="59"/>
      <c r="S187" s="58"/>
      <c r="T187" s="59"/>
      <c r="U187" s="59"/>
      <c r="V187" s="58"/>
      <c r="W187" s="58"/>
      <c r="X187" s="58"/>
      <c r="Y187" s="58"/>
    </row>
    <row r="188" spans="2:25" ht="22.5" customHeight="1">
      <c r="B188" s="58"/>
      <c r="C188" s="58"/>
      <c r="D188" s="59"/>
      <c r="E188" s="58"/>
      <c r="F188" s="58"/>
      <c r="G188" s="58"/>
      <c r="J188" s="59"/>
      <c r="K188" s="59"/>
      <c r="L188" s="59"/>
      <c r="M188" s="59"/>
      <c r="N188" s="58"/>
      <c r="O188" s="59"/>
      <c r="P188" s="59"/>
      <c r="Q188" s="59"/>
      <c r="R188" s="59"/>
      <c r="S188" s="58"/>
      <c r="T188" s="59"/>
      <c r="U188" s="59"/>
      <c r="V188" s="58"/>
      <c r="W188" s="58"/>
      <c r="X188" s="58"/>
      <c r="Y188" s="58"/>
    </row>
    <row r="189" spans="2:25" ht="22.5" customHeight="1">
      <c r="B189" s="58"/>
      <c r="C189" s="58"/>
      <c r="D189" s="59"/>
      <c r="E189" s="58"/>
      <c r="F189" s="58"/>
      <c r="G189" s="58"/>
      <c r="J189" s="59"/>
      <c r="K189" s="59"/>
      <c r="L189" s="59"/>
      <c r="M189" s="59"/>
      <c r="N189" s="58"/>
      <c r="O189" s="59"/>
      <c r="P189" s="59"/>
      <c r="Q189" s="59"/>
      <c r="R189" s="59"/>
      <c r="S189" s="58"/>
      <c r="T189" s="59"/>
      <c r="U189" s="59"/>
      <c r="V189" s="58"/>
      <c r="W189" s="58"/>
      <c r="X189" s="58"/>
      <c r="Y189" s="58"/>
    </row>
    <row r="190" spans="2:25" ht="22.5" customHeight="1">
      <c r="B190" s="58"/>
      <c r="C190" s="58"/>
      <c r="D190" s="59"/>
      <c r="E190" s="58"/>
      <c r="F190" s="58"/>
      <c r="G190" s="58"/>
      <c r="J190" s="59"/>
      <c r="K190" s="59"/>
      <c r="L190" s="59"/>
      <c r="M190" s="59"/>
      <c r="N190" s="58"/>
      <c r="O190" s="59"/>
      <c r="P190" s="59"/>
      <c r="Q190" s="59"/>
      <c r="R190" s="59"/>
      <c r="S190" s="58"/>
      <c r="T190" s="59"/>
      <c r="U190" s="59"/>
      <c r="V190" s="58"/>
      <c r="W190" s="58"/>
      <c r="X190" s="58"/>
      <c r="Y190" s="58"/>
    </row>
    <row r="191" spans="2:25" ht="22.5" customHeight="1">
      <c r="B191" s="58"/>
      <c r="C191" s="58"/>
      <c r="D191" s="59"/>
      <c r="E191" s="58"/>
      <c r="F191" s="58"/>
      <c r="G191" s="58"/>
      <c r="J191" s="59"/>
      <c r="K191" s="59"/>
      <c r="L191" s="59"/>
      <c r="M191" s="59"/>
      <c r="N191" s="58"/>
      <c r="O191" s="59"/>
      <c r="P191" s="59"/>
      <c r="Q191" s="59"/>
      <c r="R191" s="59"/>
      <c r="S191" s="58"/>
      <c r="T191" s="59"/>
      <c r="U191" s="59"/>
      <c r="V191" s="58"/>
      <c r="W191" s="58"/>
      <c r="X191" s="58"/>
      <c r="Y191" s="58"/>
    </row>
    <row r="192" spans="2:25" ht="22.5" customHeight="1">
      <c r="B192" s="58"/>
      <c r="C192" s="58"/>
      <c r="D192" s="59"/>
      <c r="E192" s="58"/>
      <c r="F192" s="58"/>
      <c r="G192" s="58"/>
      <c r="J192" s="59"/>
      <c r="K192" s="59"/>
      <c r="L192" s="59"/>
      <c r="M192" s="59"/>
      <c r="N192" s="58"/>
      <c r="O192" s="59"/>
      <c r="P192" s="59"/>
      <c r="Q192" s="59"/>
      <c r="R192" s="59"/>
      <c r="S192" s="58"/>
      <c r="T192" s="59"/>
      <c r="U192" s="59"/>
      <c r="V192" s="58"/>
      <c r="W192" s="58"/>
      <c r="X192" s="58"/>
      <c r="Y192" s="58"/>
    </row>
    <row r="193" spans="2:25" ht="22.5" customHeight="1">
      <c r="B193" s="58"/>
      <c r="C193" s="58"/>
      <c r="D193" s="59"/>
      <c r="E193" s="58"/>
      <c r="F193" s="58"/>
      <c r="G193" s="58"/>
      <c r="J193" s="59"/>
      <c r="K193" s="59"/>
      <c r="L193" s="59"/>
      <c r="M193" s="59"/>
      <c r="N193" s="58"/>
      <c r="O193" s="59"/>
      <c r="P193" s="59"/>
      <c r="Q193" s="59"/>
      <c r="R193" s="59"/>
      <c r="S193" s="58"/>
      <c r="T193" s="59"/>
      <c r="U193" s="59"/>
      <c r="V193" s="58"/>
      <c r="W193" s="58"/>
      <c r="X193" s="58"/>
      <c r="Y193" s="58"/>
    </row>
    <row r="194" spans="2:25" ht="22.5" customHeight="1">
      <c r="B194" s="58"/>
      <c r="C194" s="58"/>
      <c r="D194" s="59"/>
      <c r="E194" s="58"/>
      <c r="F194" s="58"/>
      <c r="G194" s="58"/>
      <c r="J194" s="59"/>
      <c r="K194" s="59"/>
      <c r="L194" s="59"/>
      <c r="M194" s="59"/>
      <c r="N194" s="58"/>
      <c r="O194" s="59"/>
      <c r="P194" s="59"/>
      <c r="Q194" s="59"/>
      <c r="R194" s="59"/>
      <c r="S194" s="58"/>
      <c r="T194" s="59"/>
      <c r="U194" s="59"/>
      <c r="V194" s="58"/>
      <c r="W194" s="58"/>
      <c r="X194" s="58"/>
      <c r="Y194" s="58"/>
    </row>
    <row r="195" spans="2:25" ht="22.5" customHeight="1">
      <c r="B195" s="58"/>
      <c r="C195" s="58"/>
      <c r="D195" s="59"/>
      <c r="E195" s="58"/>
      <c r="F195" s="58"/>
      <c r="G195" s="58"/>
      <c r="J195" s="59"/>
      <c r="K195" s="59"/>
      <c r="L195" s="59"/>
      <c r="M195" s="59"/>
      <c r="N195" s="58"/>
      <c r="O195" s="59"/>
      <c r="P195" s="59"/>
      <c r="Q195" s="59"/>
      <c r="R195" s="59"/>
      <c r="S195" s="58"/>
      <c r="T195" s="59"/>
      <c r="U195" s="59"/>
      <c r="V195" s="58"/>
      <c r="W195" s="58"/>
      <c r="X195" s="58"/>
      <c r="Y195" s="58"/>
    </row>
    <row r="196" spans="2:25" ht="22.5" customHeight="1">
      <c r="B196" s="58"/>
      <c r="C196" s="58"/>
      <c r="D196" s="59"/>
      <c r="E196" s="58"/>
      <c r="F196" s="58"/>
      <c r="G196" s="58"/>
      <c r="J196" s="59"/>
      <c r="K196" s="59"/>
      <c r="L196" s="59"/>
      <c r="M196" s="59"/>
      <c r="N196" s="58"/>
      <c r="O196" s="59"/>
      <c r="P196" s="59"/>
      <c r="Q196" s="59"/>
      <c r="R196" s="59"/>
      <c r="S196" s="58"/>
      <c r="T196" s="59"/>
      <c r="U196" s="59"/>
      <c r="V196" s="58"/>
      <c r="W196" s="58"/>
      <c r="X196" s="58"/>
      <c r="Y196" s="58"/>
    </row>
    <row r="197" spans="2:25" ht="22.5" customHeight="1">
      <c r="B197" s="58"/>
      <c r="C197" s="58"/>
      <c r="D197" s="59"/>
      <c r="E197" s="58"/>
      <c r="F197" s="58"/>
      <c r="G197" s="58"/>
      <c r="J197" s="59"/>
      <c r="K197" s="59"/>
      <c r="L197" s="59"/>
      <c r="M197" s="59"/>
      <c r="N197" s="58"/>
      <c r="O197" s="59"/>
      <c r="P197" s="59"/>
      <c r="Q197" s="59"/>
      <c r="R197" s="59"/>
      <c r="S197" s="58"/>
      <c r="T197" s="59"/>
      <c r="U197" s="59"/>
      <c r="V197" s="58"/>
      <c r="W197" s="58"/>
      <c r="X197" s="58"/>
      <c r="Y197" s="58"/>
    </row>
    <row r="198" spans="2:25" ht="22.5" customHeight="1">
      <c r="B198" s="58"/>
      <c r="C198" s="58"/>
      <c r="D198" s="59"/>
      <c r="E198" s="58"/>
      <c r="F198" s="58"/>
      <c r="G198" s="58"/>
      <c r="J198" s="59"/>
      <c r="K198" s="59"/>
      <c r="L198" s="59"/>
      <c r="M198" s="59"/>
      <c r="N198" s="58"/>
      <c r="O198" s="59"/>
      <c r="P198" s="59"/>
      <c r="Q198" s="59"/>
      <c r="R198" s="59"/>
      <c r="S198" s="58"/>
      <c r="T198" s="59"/>
      <c r="U198" s="59"/>
      <c r="V198" s="58"/>
      <c r="W198" s="58"/>
      <c r="X198" s="58"/>
      <c r="Y198" s="58"/>
    </row>
    <row r="199" spans="2:25" ht="22.5" customHeight="1">
      <c r="B199" s="58"/>
      <c r="C199" s="58"/>
      <c r="D199" s="59"/>
      <c r="E199" s="58"/>
      <c r="F199" s="58"/>
      <c r="G199" s="58"/>
      <c r="J199" s="59"/>
      <c r="K199" s="59"/>
      <c r="L199" s="59"/>
      <c r="M199" s="59"/>
      <c r="N199" s="58"/>
      <c r="O199" s="59"/>
      <c r="P199" s="59"/>
      <c r="Q199" s="59"/>
      <c r="R199" s="59"/>
      <c r="S199" s="58"/>
      <c r="T199" s="59"/>
      <c r="U199" s="59"/>
      <c r="V199" s="58"/>
      <c r="W199" s="58"/>
      <c r="X199" s="58"/>
      <c r="Y199" s="58"/>
    </row>
    <row r="200" spans="2:25" ht="22.5" customHeight="1">
      <c r="B200" s="58"/>
      <c r="C200" s="58"/>
      <c r="D200" s="59"/>
      <c r="E200" s="58"/>
      <c r="F200" s="58"/>
      <c r="G200" s="58"/>
      <c r="J200" s="59"/>
      <c r="K200" s="59"/>
      <c r="L200" s="59"/>
      <c r="M200" s="59"/>
      <c r="N200" s="58"/>
      <c r="O200" s="59"/>
      <c r="P200" s="59"/>
      <c r="Q200" s="59"/>
      <c r="R200" s="59"/>
      <c r="S200" s="58"/>
      <c r="T200" s="59"/>
      <c r="U200" s="59"/>
      <c r="V200" s="58"/>
      <c r="W200" s="58"/>
      <c r="X200" s="58"/>
      <c r="Y200" s="58"/>
    </row>
    <row r="201" spans="2:25" ht="22.5" customHeight="1">
      <c r="B201" s="58"/>
      <c r="C201" s="58"/>
      <c r="D201" s="59"/>
      <c r="E201" s="58"/>
      <c r="F201" s="58"/>
      <c r="G201" s="58"/>
      <c r="J201" s="59"/>
      <c r="K201" s="59"/>
      <c r="L201" s="59"/>
      <c r="M201" s="59"/>
      <c r="N201" s="58"/>
      <c r="O201" s="59"/>
      <c r="P201" s="59"/>
      <c r="Q201" s="59"/>
      <c r="R201" s="59"/>
      <c r="S201" s="58"/>
      <c r="T201" s="59"/>
      <c r="U201" s="59"/>
      <c r="V201" s="58"/>
      <c r="W201" s="58"/>
      <c r="X201" s="58"/>
      <c r="Y201" s="58"/>
    </row>
    <row r="202" spans="2:25" ht="22.5" customHeight="1">
      <c r="B202" s="58"/>
      <c r="C202" s="58"/>
      <c r="D202" s="59"/>
      <c r="E202" s="58"/>
      <c r="F202" s="58"/>
      <c r="G202" s="58"/>
      <c r="J202" s="59"/>
      <c r="K202" s="59"/>
      <c r="L202" s="59"/>
      <c r="M202" s="59"/>
      <c r="N202" s="58"/>
      <c r="O202" s="59"/>
      <c r="P202" s="59"/>
      <c r="Q202" s="59"/>
      <c r="R202" s="59"/>
      <c r="S202" s="58"/>
      <c r="T202" s="59"/>
      <c r="U202" s="59"/>
      <c r="V202" s="58"/>
      <c r="W202" s="58"/>
      <c r="X202" s="58"/>
      <c r="Y202" s="58"/>
    </row>
    <row r="203" spans="2:25" ht="22.5" customHeight="1">
      <c r="B203" s="58"/>
      <c r="C203" s="58"/>
      <c r="D203" s="59"/>
      <c r="E203" s="58"/>
      <c r="F203" s="58"/>
      <c r="G203" s="58"/>
      <c r="J203" s="59"/>
      <c r="K203" s="59"/>
      <c r="L203" s="59"/>
      <c r="M203" s="59"/>
      <c r="N203" s="58"/>
      <c r="O203" s="59"/>
      <c r="P203" s="59"/>
      <c r="Q203" s="59"/>
      <c r="R203" s="59"/>
      <c r="S203" s="58"/>
      <c r="T203" s="59"/>
      <c r="U203" s="59"/>
      <c r="V203" s="58"/>
      <c r="W203" s="58"/>
      <c r="X203" s="58"/>
      <c r="Y203" s="58"/>
    </row>
    <row r="204" spans="2:25" ht="22.5" customHeight="1">
      <c r="B204" s="58"/>
      <c r="C204" s="58"/>
      <c r="D204" s="59"/>
      <c r="E204" s="58"/>
      <c r="F204" s="58"/>
      <c r="G204" s="58"/>
      <c r="J204" s="59"/>
      <c r="K204" s="59"/>
      <c r="L204" s="59"/>
      <c r="M204" s="59"/>
      <c r="N204" s="58"/>
      <c r="O204" s="59"/>
      <c r="P204" s="59"/>
      <c r="Q204" s="59"/>
      <c r="R204" s="59"/>
      <c r="S204" s="58"/>
      <c r="T204" s="59"/>
      <c r="U204" s="59"/>
      <c r="V204" s="58"/>
      <c r="W204" s="58"/>
      <c r="X204" s="58"/>
      <c r="Y204" s="58"/>
    </row>
    <row r="205" spans="2:25" ht="22.5" customHeight="1">
      <c r="B205" s="58"/>
      <c r="C205" s="58"/>
      <c r="D205" s="59"/>
      <c r="E205" s="58"/>
      <c r="F205" s="58"/>
      <c r="G205" s="58"/>
      <c r="J205" s="59"/>
      <c r="K205" s="59"/>
      <c r="L205" s="59"/>
      <c r="M205" s="59"/>
      <c r="N205" s="58"/>
      <c r="O205" s="59"/>
      <c r="P205" s="59"/>
      <c r="Q205" s="59"/>
      <c r="R205" s="59"/>
      <c r="S205" s="58"/>
      <c r="T205" s="59"/>
      <c r="U205" s="59"/>
      <c r="V205" s="58"/>
      <c r="W205" s="58"/>
      <c r="X205" s="58"/>
      <c r="Y205" s="58"/>
    </row>
    <row r="206" spans="2:25" ht="22.5" customHeight="1">
      <c r="B206" s="58"/>
      <c r="C206" s="58"/>
      <c r="D206" s="59"/>
      <c r="E206" s="58"/>
      <c r="F206" s="58"/>
      <c r="G206" s="58"/>
      <c r="J206" s="59"/>
      <c r="K206" s="59"/>
      <c r="L206" s="59"/>
      <c r="M206" s="59"/>
      <c r="N206" s="58"/>
      <c r="O206" s="59"/>
      <c r="P206" s="59"/>
      <c r="Q206" s="59"/>
      <c r="R206" s="59"/>
      <c r="S206" s="58"/>
      <c r="T206" s="59"/>
      <c r="U206" s="59"/>
      <c r="V206" s="58"/>
      <c r="W206" s="58"/>
      <c r="X206" s="58"/>
      <c r="Y206" s="58"/>
    </row>
    <row r="207" spans="2:25" ht="22.5" customHeight="1">
      <c r="B207" s="58"/>
      <c r="C207" s="58"/>
      <c r="D207" s="59"/>
      <c r="E207" s="58"/>
      <c r="F207" s="58"/>
      <c r="G207" s="58"/>
      <c r="J207" s="59"/>
      <c r="K207" s="59"/>
      <c r="L207" s="59"/>
      <c r="M207" s="59"/>
      <c r="N207" s="58"/>
      <c r="O207" s="59"/>
      <c r="P207" s="59"/>
      <c r="Q207" s="59"/>
      <c r="R207" s="59"/>
      <c r="S207" s="58"/>
      <c r="T207" s="59"/>
      <c r="U207" s="59"/>
      <c r="V207" s="58"/>
      <c r="W207" s="58"/>
      <c r="X207" s="58"/>
      <c r="Y207" s="58"/>
    </row>
    <row r="208" spans="2:25" ht="22.5" customHeight="1">
      <c r="B208" s="58"/>
      <c r="C208" s="58"/>
      <c r="D208" s="59"/>
      <c r="E208" s="58"/>
      <c r="F208" s="58"/>
      <c r="G208" s="58"/>
      <c r="J208" s="59"/>
      <c r="K208" s="59"/>
      <c r="L208" s="59"/>
      <c r="M208" s="59"/>
      <c r="N208" s="58"/>
      <c r="O208" s="59"/>
      <c r="P208" s="59"/>
      <c r="Q208" s="59"/>
      <c r="R208" s="59"/>
      <c r="S208" s="58"/>
      <c r="T208" s="59"/>
      <c r="U208" s="59"/>
      <c r="V208" s="58"/>
      <c r="W208" s="58"/>
      <c r="X208" s="58"/>
      <c r="Y208" s="58"/>
    </row>
    <row r="209" spans="2:25" ht="22.5" customHeight="1">
      <c r="B209" s="58"/>
      <c r="C209" s="58"/>
      <c r="D209" s="59"/>
      <c r="E209" s="58"/>
      <c r="F209" s="58"/>
      <c r="G209" s="58"/>
      <c r="J209" s="59"/>
      <c r="K209" s="59"/>
      <c r="L209" s="59"/>
      <c r="M209" s="59"/>
      <c r="N209" s="58"/>
      <c r="O209" s="59"/>
      <c r="P209" s="59"/>
      <c r="Q209" s="59"/>
      <c r="R209" s="59"/>
      <c r="S209" s="58"/>
      <c r="T209" s="59"/>
      <c r="U209" s="59"/>
      <c r="V209" s="58"/>
      <c r="W209" s="58"/>
      <c r="X209" s="58"/>
      <c r="Y209" s="58"/>
    </row>
    <row r="210" spans="2:25" ht="22.5" customHeight="1">
      <c r="B210" s="58"/>
      <c r="C210" s="58"/>
      <c r="D210" s="59"/>
      <c r="E210" s="58"/>
      <c r="F210" s="58"/>
      <c r="G210" s="58"/>
      <c r="J210" s="59"/>
      <c r="K210" s="59"/>
      <c r="L210" s="59"/>
      <c r="M210" s="59"/>
      <c r="N210" s="58"/>
      <c r="O210" s="59"/>
      <c r="P210" s="59"/>
      <c r="Q210" s="59"/>
      <c r="R210" s="59"/>
      <c r="S210" s="58"/>
      <c r="T210" s="59"/>
      <c r="U210" s="59"/>
      <c r="V210" s="58"/>
      <c r="W210" s="58"/>
      <c r="X210" s="58"/>
      <c r="Y210" s="58"/>
    </row>
    <row r="211" spans="2:25" ht="22.5" customHeight="1">
      <c r="B211" s="58"/>
      <c r="C211" s="58"/>
      <c r="D211" s="59"/>
      <c r="E211" s="58"/>
      <c r="F211" s="58"/>
      <c r="G211" s="58"/>
      <c r="J211" s="59"/>
      <c r="K211" s="59"/>
      <c r="L211" s="59"/>
      <c r="M211" s="59"/>
      <c r="N211" s="58"/>
      <c r="O211" s="59"/>
      <c r="P211" s="59"/>
      <c r="Q211" s="59"/>
      <c r="R211" s="59"/>
      <c r="S211" s="58"/>
      <c r="T211" s="59"/>
      <c r="U211" s="59"/>
      <c r="V211" s="58"/>
      <c r="W211" s="58"/>
      <c r="X211" s="58"/>
      <c r="Y211" s="58"/>
    </row>
    <row r="212" spans="2:25" ht="22.5" customHeight="1">
      <c r="B212" s="58"/>
      <c r="C212" s="58"/>
      <c r="D212" s="59"/>
      <c r="E212" s="58"/>
      <c r="F212" s="58"/>
      <c r="G212" s="58"/>
      <c r="J212" s="59"/>
      <c r="K212" s="59"/>
      <c r="L212" s="59"/>
      <c r="M212" s="59"/>
      <c r="N212" s="58"/>
      <c r="O212" s="59"/>
      <c r="P212" s="59"/>
      <c r="Q212" s="59"/>
      <c r="R212" s="59"/>
      <c r="S212" s="58"/>
      <c r="T212" s="59"/>
      <c r="U212" s="59"/>
      <c r="V212" s="58"/>
      <c r="W212" s="58"/>
      <c r="X212" s="58"/>
      <c r="Y212" s="58"/>
    </row>
    <row r="213" spans="2:25" ht="22.5" customHeight="1">
      <c r="B213" s="58"/>
      <c r="C213" s="58"/>
      <c r="D213" s="59"/>
      <c r="E213" s="58"/>
      <c r="F213" s="58"/>
      <c r="G213" s="58"/>
      <c r="J213" s="59"/>
      <c r="K213" s="59"/>
      <c r="L213" s="59"/>
      <c r="M213" s="59"/>
      <c r="N213" s="58"/>
      <c r="O213" s="59"/>
      <c r="P213" s="59"/>
      <c r="Q213" s="59"/>
      <c r="R213" s="59"/>
      <c r="S213" s="58"/>
      <c r="T213" s="59"/>
      <c r="U213" s="59"/>
      <c r="V213" s="58"/>
      <c r="W213" s="58"/>
      <c r="X213" s="58"/>
      <c r="Y213" s="58"/>
    </row>
    <row r="214" spans="2:25" ht="22.5" customHeight="1">
      <c r="B214" s="58"/>
      <c r="C214" s="58"/>
      <c r="D214" s="59"/>
      <c r="E214" s="58"/>
      <c r="F214" s="58"/>
      <c r="G214" s="58"/>
      <c r="J214" s="59"/>
      <c r="K214" s="59"/>
      <c r="L214" s="59"/>
      <c r="M214" s="59"/>
      <c r="N214" s="58"/>
      <c r="O214" s="59"/>
      <c r="P214" s="59"/>
      <c r="Q214" s="59"/>
      <c r="R214" s="59"/>
      <c r="S214" s="58"/>
      <c r="T214" s="59"/>
      <c r="U214" s="59"/>
      <c r="V214" s="58"/>
      <c r="W214" s="58"/>
      <c r="X214" s="58"/>
      <c r="Y214" s="58"/>
    </row>
    <row r="215" spans="2:25" ht="22.5" customHeight="1">
      <c r="B215" s="58"/>
      <c r="C215" s="58"/>
      <c r="D215" s="59"/>
      <c r="E215" s="58"/>
      <c r="F215" s="58"/>
      <c r="G215" s="58"/>
      <c r="J215" s="59"/>
      <c r="K215" s="59"/>
      <c r="L215" s="59"/>
      <c r="M215" s="59"/>
      <c r="N215" s="58"/>
      <c r="O215" s="59"/>
      <c r="P215" s="59"/>
      <c r="Q215" s="59"/>
      <c r="R215" s="59"/>
      <c r="S215" s="58"/>
      <c r="T215" s="59"/>
      <c r="U215" s="59"/>
      <c r="V215" s="58"/>
      <c r="W215" s="58"/>
      <c r="X215" s="58"/>
      <c r="Y215" s="58"/>
    </row>
    <row r="216" spans="2:25" ht="22.5" customHeight="1">
      <c r="B216" s="58"/>
      <c r="C216" s="58"/>
      <c r="D216" s="59"/>
      <c r="E216" s="58"/>
      <c r="F216" s="58"/>
      <c r="G216" s="58"/>
      <c r="J216" s="59"/>
      <c r="K216" s="59"/>
      <c r="L216" s="59"/>
      <c r="M216" s="59"/>
      <c r="N216" s="58"/>
      <c r="O216" s="59"/>
      <c r="P216" s="59"/>
      <c r="Q216" s="59"/>
      <c r="R216" s="59"/>
      <c r="S216" s="58"/>
      <c r="T216" s="59"/>
      <c r="U216" s="59"/>
      <c r="V216" s="58"/>
      <c r="W216" s="58"/>
      <c r="X216" s="58"/>
      <c r="Y216" s="58"/>
    </row>
    <row r="217" spans="2:25" ht="22.5" customHeight="1">
      <c r="B217" s="58"/>
      <c r="C217" s="58"/>
      <c r="D217" s="59"/>
      <c r="E217" s="58"/>
      <c r="F217" s="58"/>
      <c r="G217" s="58"/>
      <c r="J217" s="59"/>
      <c r="K217" s="59"/>
      <c r="L217" s="59"/>
      <c r="M217" s="59"/>
      <c r="N217" s="58"/>
      <c r="O217" s="59"/>
      <c r="P217" s="59"/>
      <c r="Q217" s="59"/>
      <c r="R217" s="59"/>
      <c r="S217" s="58"/>
      <c r="T217" s="59"/>
      <c r="U217" s="59"/>
      <c r="V217" s="58"/>
      <c r="W217" s="58"/>
      <c r="X217" s="58"/>
      <c r="Y217" s="58"/>
    </row>
    <row r="218" spans="2:25" ht="22.5" customHeight="1">
      <c r="B218" s="58"/>
      <c r="C218" s="58"/>
      <c r="D218" s="59"/>
      <c r="E218" s="58"/>
      <c r="F218" s="58"/>
      <c r="G218" s="58"/>
      <c r="J218" s="59"/>
      <c r="K218" s="59"/>
      <c r="L218" s="59"/>
      <c r="M218" s="59"/>
      <c r="N218" s="58"/>
      <c r="O218" s="59"/>
      <c r="P218" s="59"/>
      <c r="Q218" s="59"/>
      <c r="R218" s="59"/>
      <c r="S218" s="58"/>
      <c r="T218" s="59"/>
      <c r="U218" s="59"/>
      <c r="V218" s="58"/>
      <c r="W218" s="58"/>
      <c r="X218" s="58"/>
      <c r="Y218" s="58"/>
    </row>
    <row r="219" spans="2:25" ht="22.5" customHeight="1">
      <c r="B219" s="58"/>
      <c r="C219" s="58"/>
      <c r="D219" s="59"/>
      <c r="E219" s="58"/>
      <c r="F219" s="58"/>
      <c r="G219" s="58"/>
      <c r="J219" s="59"/>
      <c r="K219" s="59"/>
      <c r="L219" s="59"/>
      <c r="M219" s="59"/>
      <c r="N219" s="58"/>
      <c r="O219" s="59"/>
      <c r="P219" s="59"/>
      <c r="Q219" s="59"/>
      <c r="R219" s="59"/>
      <c r="S219" s="58"/>
      <c r="T219" s="59"/>
      <c r="U219" s="59"/>
      <c r="V219" s="58"/>
      <c r="W219" s="58"/>
      <c r="X219" s="58"/>
      <c r="Y219" s="58"/>
    </row>
    <row r="220" spans="2:25" ht="22.5" customHeight="1">
      <c r="B220" s="58"/>
      <c r="C220" s="58"/>
      <c r="D220" s="59"/>
      <c r="E220" s="58"/>
      <c r="F220" s="58"/>
      <c r="G220" s="58"/>
      <c r="J220" s="59"/>
      <c r="K220" s="59"/>
      <c r="L220" s="59"/>
      <c r="M220" s="59"/>
      <c r="N220" s="58"/>
      <c r="O220" s="59"/>
      <c r="P220" s="59"/>
      <c r="Q220" s="59"/>
      <c r="R220" s="59"/>
      <c r="S220" s="58"/>
      <c r="T220" s="59"/>
      <c r="U220" s="59"/>
      <c r="V220" s="58"/>
      <c r="W220" s="58"/>
      <c r="X220" s="58"/>
      <c r="Y220" s="58"/>
    </row>
    <row r="221" spans="2:25" ht="22.5" customHeight="1">
      <c r="B221" s="58"/>
      <c r="C221" s="58"/>
      <c r="D221" s="59"/>
      <c r="E221" s="58"/>
      <c r="F221" s="58"/>
      <c r="G221" s="58"/>
      <c r="J221" s="59"/>
      <c r="K221" s="59"/>
      <c r="L221" s="59"/>
      <c r="M221" s="59"/>
      <c r="N221" s="58"/>
      <c r="O221" s="59"/>
      <c r="P221" s="59"/>
      <c r="Q221" s="59"/>
      <c r="R221" s="59"/>
      <c r="S221" s="58"/>
      <c r="T221" s="59"/>
      <c r="U221" s="59"/>
      <c r="V221" s="58"/>
      <c r="W221" s="58"/>
      <c r="X221" s="58"/>
      <c r="Y221" s="58"/>
    </row>
    <row r="222" spans="2:25" ht="22.5" customHeight="1">
      <c r="B222" s="58"/>
      <c r="C222" s="58"/>
      <c r="D222" s="59"/>
      <c r="E222" s="58"/>
      <c r="F222" s="58"/>
      <c r="G222" s="58"/>
      <c r="J222" s="59"/>
      <c r="K222" s="59"/>
      <c r="L222" s="59"/>
      <c r="M222" s="59"/>
      <c r="N222" s="58"/>
      <c r="O222" s="59"/>
      <c r="P222" s="59"/>
      <c r="Q222" s="59"/>
      <c r="R222" s="59"/>
      <c r="S222" s="58"/>
      <c r="T222" s="59"/>
      <c r="U222" s="59"/>
      <c r="V222" s="58"/>
      <c r="W222" s="58"/>
      <c r="X222" s="58"/>
      <c r="Y222" s="58"/>
    </row>
    <row r="223" spans="2:25" ht="22.5" customHeight="1">
      <c r="B223" s="58"/>
      <c r="C223" s="58"/>
      <c r="D223" s="59"/>
      <c r="E223" s="58"/>
      <c r="F223" s="58"/>
      <c r="G223" s="58"/>
      <c r="J223" s="59"/>
      <c r="K223" s="59"/>
      <c r="L223" s="59"/>
      <c r="M223" s="59"/>
      <c r="N223" s="58"/>
      <c r="O223" s="59"/>
      <c r="P223" s="59"/>
      <c r="Q223" s="59"/>
      <c r="R223" s="59"/>
      <c r="S223" s="58"/>
      <c r="T223" s="59"/>
      <c r="U223" s="59"/>
      <c r="V223" s="58"/>
      <c r="W223" s="58"/>
      <c r="X223" s="58"/>
      <c r="Y223" s="58"/>
    </row>
    <row r="224" spans="2:25" ht="22.5" customHeight="1">
      <c r="B224" s="58"/>
      <c r="C224" s="58"/>
      <c r="D224" s="59"/>
      <c r="E224" s="58"/>
      <c r="F224" s="58"/>
      <c r="G224" s="58"/>
      <c r="J224" s="59"/>
      <c r="K224" s="59"/>
      <c r="L224" s="59"/>
      <c r="M224" s="59"/>
      <c r="N224" s="58"/>
      <c r="O224" s="59"/>
      <c r="P224" s="59"/>
      <c r="Q224" s="59"/>
      <c r="R224" s="59"/>
      <c r="S224" s="58"/>
      <c r="T224" s="59"/>
      <c r="U224" s="59"/>
      <c r="V224" s="58"/>
      <c r="W224" s="58"/>
      <c r="X224" s="58"/>
      <c r="Y224" s="58"/>
    </row>
    <row r="225" spans="2:25" ht="22.5" customHeight="1">
      <c r="B225" s="58"/>
      <c r="C225" s="58"/>
      <c r="D225" s="59"/>
      <c r="E225" s="58"/>
      <c r="F225" s="58"/>
      <c r="G225" s="58"/>
      <c r="J225" s="59"/>
      <c r="K225" s="59"/>
      <c r="L225" s="59"/>
      <c r="M225" s="59"/>
      <c r="N225" s="58"/>
      <c r="O225" s="59"/>
      <c r="P225" s="59"/>
      <c r="Q225" s="59"/>
      <c r="R225" s="59"/>
      <c r="S225" s="58"/>
      <c r="T225" s="59"/>
      <c r="U225" s="59"/>
      <c r="V225" s="58"/>
      <c r="W225" s="58"/>
      <c r="X225" s="58"/>
      <c r="Y225" s="58"/>
    </row>
    <row r="226" spans="2:25" ht="22.5" customHeight="1">
      <c r="B226" s="58"/>
      <c r="C226" s="58"/>
      <c r="D226" s="59"/>
      <c r="E226" s="58"/>
      <c r="F226" s="58"/>
      <c r="G226" s="58"/>
      <c r="J226" s="59"/>
      <c r="K226" s="59"/>
      <c r="L226" s="59"/>
      <c r="M226" s="59"/>
      <c r="N226" s="58"/>
      <c r="O226" s="59"/>
      <c r="P226" s="59"/>
      <c r="Q226" s="59"/>
      <c r="R226" s="59"/>
      <c r="S226" s="58"/>
      <c r="T226" s="59"/>
      <c r="U226" s="59"/>
      <c r="V226" s="58"/>
      <c r="W226" s="58"/>
      <c r="X226" s="58"/>
      <c r="Y226" s="58"/>
    </row>
    <row r="227" spans="2:25" ht="22.5" customHeight="1">
      <c r="B227" s="58"/>
      <c r="C227" s="58"/>
      <c r="D227" s="59"/>
      <c r="E227" s="58"/>
      <c r="F227" s="58"/>
      <c r="G227" s="58"/>
      <c r="J227" s="59"/>
      <c r="K227" s="59"/>
      <c r="L227" s="59"/>
      <c r="M227" s="59"/>
      <c r="N227" s="58"/>
      <c r="O227" s="59"/>
      <c r="P227" s="59"/>
      <c r="Q227" s="59"/>
      <c r="R227" s="59"/>
      <c r="S227" s="58"/>
      <c r="T227" s="59"/>
      <c r="U227" s="59"/>
      <c r="V227" s="58"/>
      <c r="W227" s="58"/>
      <c r="X227" s="58"/>
      <c r="Y227" s="58"/>
    </row>
    <row r="228" spans="2:25" ht="22.5" customHeight="1">
      <c r="B228" s="58"/>
      <c r="C228" s="58"/>
      <c r="D228" s="59"/>
      <c r="E228" s="58"/>
      <c r="F228" s="58"/>
      <c r="G228" s="58"/>
      <c r="J228" s="59"/>
      <c r="K228" s="59"/>
      <c r="L228" s="59"/>
      <c r="M228" s="59"/>
      <c r="N228" s="58"/>
      <c r="O228" s="59"/>
      <c r="P228" s="59"/>
      <c r="Q228" s="59"/>
      <c r="R228" s="59"/>
      <c r="S228" s="58"/>
      <c r="T228" s="59"/>
      <c r="U228" s="59"/>
      <c r="V228" s="58"/>
      <c r="W228" s="58"/>
      <c r="X228" s="58"/>
      <c r="Y228" s="58"/>
    </row>
    <row r="229" spans="2:25" ht="22.5" customHeight="1">
      <c r="B229" s="58"/>
      <c r="C229" s="58"/>
      <c r="D229" s="59"/>
      <c r="E229" s="58"/>
      <c r="F229" s="58"/>
      <c r="G229" s="58"/>
      <c r="J229" s="59"/>
      <c r="K229" s="59"/>
      <c r="L229" s="59"/>
      <c r="M229" s="59"/>
      <c r="N229" s="58"/>
      <c r="O229" s="59"/>
      <c r="P229" s="59"/>
      <c r="Q229" s="59"/>
      <c r="R229" s="59"/>
      <c r="S229" s="58"/>
      <c r="T229" s="59"/>
      <c r="U229" s="59"/>
      <c r="V229" s="58"/>
      <c r="W229" s="58"/>
      <c r="X229" s="58"/>
      <c r="Y229" s="58"/>
    </row>
    <row r="230" spans="2:25" ht="22.5" customHeight="1">
      <c r="B230" s="58"/>
      <c r="C230" s="58"/>
      <c r="D230" s="59"/>
      <c r="E230" s="58"/>
      <c r="F230" s="58"/>
      <c r="G230" s="58"/>
      <c r="J230" s="59"/>
      <c r="K230" s="59"/>
      <c r="L230" s="59"/>
      <c r="M230" s="59"/>
      <c r="N230" s="58"/>
      <c r="O230" s="59"/>
      <c r="P230" s="59"/>
      <c r="Q230" s="59"/>
      <c r="R230" s="59"/>
      <c r="S230" s="58"/>
      <c r="T230" s="59"/>
      <c r="U230" s="59"/>
      <c r="V230" s="58"/>
      <c r="W230" s="58"/>
      <c r="X230" s="58"/>
      <c r="Y230" s="58"/>
    </row>
    <row r="231" spans="2:25" ht="22.5" customHeight="1">
      <c r="B231" s="58"/>
      <c r="C231" s="58"/>
      <c r="D231" s="59"/>
      <c r="E231" s="58"/>
      <c r="F231" s="58"/>
      <c r="G231" s="58"/>
      <c r="J231" s="59"/>
      <c r="K231" s="59"/>
      <c r="L231" s="59"/>
      <c r="M231" s="59"/>
      <c r="N231" s="58"/>
      <c r="O231" s="59"/>
      <c r="P231" s="59"/>
      <c r="Q231" s="59"/>
      <c r="R231" s="59"/>
      <c r="S231" s="58"/>
      <c r="T231" s="59"/>
      <c r="U231" s="59"/>
      <c r="V231" s="58"/>
      <c r="W231" s="58"/>
      <c r="X231" s="58"/>
      <c r="Y231" s="58"/>
    </row>
    <row r="232" spans="2:25" ht="22.5" customHeight="1">
      <c r="B232" s="58"/>
      <c r="C232" s="58"/>
      <c r="D232" s="59"/>
      <c r="E232" s="58"/>
      <c r="F232" s="58"/>
      <c r="G232" s="58"/>
      <c r="J232" s="59"/>
      <c r="K232" s="59"/>
      <c r="L232" s="59"/>
      <c r="M232" s="59"/>
      <c r="N232" s="58"/>
      <c r="O232" s="59"/>
      <c r="P232" s="59"/>
      <c r="Q232" s="59"/>
      <c r="R232" s="59"/>
      <c r="S232" s="58"/>
      <c r="T232" s="59"/>
      <c r="U232" s="59"/>
      <c r="V232" s="58"/>
      <c r="W232" s="58"/>
      <c r="X232" s="58"/>
      <c r="Y232" s="58"/>
    </row>
    <row r="233" spans="2:25" ht="22.5" customHeight="1">
      <c r="B233" s="58"/>
      <c r="C233" s="58"/>
      <c r="D233" s="59"/>
      <c r="E233" s="58"/>
      <c r="F233" s="58"/>
      <c r="G233" s="58"/>
      <c r="J233" s="59"/>
      <c r="K233" s="59"/>
      <c r="L233" s="59"/>
      <c r="M233" s="59"/>
      <c r="N233" s="58"/>
      <c r="O233" s="59"/>
      <c r="P233" s="59"/>
      <c r="Q233" s="59"/>
      <c r="R233" s="59"/>
      <c r="S233" s="58"/>
      <c r="T233" s="59"/>
      <c r="U233" s="59"/>
      <c r="V233" s="58"/>
      <c r="W233" s="58"/>
      <c r="X233" s="58"/>
      <c r="Y233" s="58"/>
    </row>
    <row r="234" spans="2:25" ht="22.5" customHeight="1">
      <c r="B234" s="58"/>
      <c r="C234" s="58"/>
      <c r="D234" s="59"/>
      <c r="E234" s="58"/>
      <c r="F234" s="58"/>
      <c r="G234" s="58"/>
      <c r="J234" s="59"/>
      <c r="K234" s="59"/>
      <c r="L234" s="59"/>
      <c r="M234" s="59"/>
      <c r="N234" s="58"/>
      <c r="O234" s="59"/>
      <c r="P234" s="59"/>
      <c r="Q234" s="59"/>
      <c r="R234" s="59"/>
      <c r="S234" s="58"/>
      <c r="T234" s="59"/>
      <c r="U234" s="59"/>
      <c r="V234" s="58"/>
      <c r="W234" s="58"/>
      <c r="X234" s="58"/>
      <c r="Y234" s="58"/>
    </row>
    <row r="235" spans="2:25" ht="22.5" customHeight="1">
      <c r="B235" s="58"/>
      <c r="C235" s="58"/>
      <c r="D235" s="59"/>
      <c r="E235" s="58"/>
      <c r="F235" s="58"/>
      <c r="G235" s="58"/>
      <c r="J235" s="59"/>
      <c r="K235" s="59"/>
      <c r="L235" s="59"/>
      <c r="M235" s="59"/>
      <c r="N235" s="58"/>
      <c r="O235" s="59"/>
      <c r="P235" s="59"/>
      <c r="Q235" s="59"/>
      <c r="R235" s="59"/>
      <c r="S235" s="58"/>
      <c r="T235" s="59"/>
      <c r="U235" s="59"/>
      <c r="V235" s="58"/>
      <c r="W235" s="58"/>
      <c r="X235" s="58"/>
      <c r="Y235" s="58"/>
    </row>
    <row r="236" spans="2:25" ht="22.5" customHeight="1">
      <c r="B236" s="58"/>
      <c r="C236" s="58"/>
      <c r="D236" s="59"/>
      <c r="E236" s="58"/>
      <c r="F236" s="58"/>
      <c r="G236" s="58"/>
      <c r="J236" s="59"/>
      <c r="K236" s="59"/>
      <c r="L236" s="59"/>
      <c r="M236" s="59"/>
      <c r="N236" s="58"/>
      <c r="O236" s="59"/>
      <c r="P236" s="59"/>
      <c r="Q236" s="59"/>
      <c r="R236" s="59"/>
      <c r="S236" s="58"/>
      <c r="T236" s="59"/>
      <c r="U236" s="59"/>
      <c r="V236" s="58"/>
      <c r="W236" s="58"/>
      <c r="X236" s="58"/>
      <c r="Y236" s="58"/>
    </row>
    <row r="237" spans="2:25" ht="22.5" customHeight="1">
      <c r="B237" s="58"/>
      <c r="C237" s="58"/>
      <c r="D237" s="59"/>
      <c r="E237" s="58"/>
      <c r="F237" s="58"/>
      <c r="G237" s="58"/>
      <c r="J237" s="59"/>
      <c r="K237" s="59"/>
      <c r="L237" s="59"/>
      <c r="M237" s="59"/>
      <c r="N237" s="58"/>
      <c r="O237" s="59"/>
      <c r="P237" s="59"/>
      <c r="Q237" s="59"/>
      <c r="R237" s="59"/>
      <c r="S237" s="58"/>
      <c r="T237" s="59"/>
      <c r="U237" s="59"/>
      <c r="V237" s="58"/>
      <c r="W237" s="58"/>
      <c r="X237" s="58"/>
      <c r="Y237" s="58"/>
    </row>
    <row r="238" spans="2:25" ht="22.5" customHeight="1">
      <c r="B238" s="58"/>
      <c r="C238" s="58"/>
      <c r="D238" s="59"/>
      <c r="E238" s="58"/>
      <c r="F238" s="58"/>
      <c r="G238" s="58"/>
      <c r="J238" s="59"/>
      <c r="K238" s="59"/>
      <c r="L238" s="59"/>
      <c r="M238" s="59"/>
      <c r="N238" s="58"/>
      <c r="O238" s="59"/>
      <c r="P238" s="59"/>
      <c r="Q238" s="59"/>
      <c r="R238" s="59"/>
      <c r="S238" s="58"/>
      <c r="T238" s="59"/>
      <c r="U238" s="59"/>
      <c r="V238" s="58"/>
      <c r="W238" s="58"/>
      <c r="X238" s="58"/>
      <c r="Y238" s="58"/>
    </row>
    <row r="239" spans="2:25" ht="22.5" customHeight="1">
      <c r="B239" s="58"/>
      <c r="C239" s="58"/>
      <c r="D239" s="59"/>
      <c r="E239" s="58"/>
      <c r="F239" s="58"/>
      <c r="G239" s="58"/>
      <c r="J239" s="59"/>
      <c r="K239" s="59"/>
      <c r="L239" s="59"/>
      <c r="M239" s="59"/>
      <c r="N239" s="58"/>
      <c r="O239" s="59"/>
      <c r="P239" s="59"/>
      <c r="Q239" s="59"/>
      <c r="R239" s="59"/>
      <c r="S239" s="58"/>
      <c r="T239" s="59"/>
      <c r="U239" s="59"/>
      <c r="V239" s="58"/>
      <c r="W239" s="58"/>
      <c r="X239" s="58"/>
      <c r="Y239" s="58"/>
    </row>
    <row r="240" spans="2:25" ht="22.5" customHeight="1">
      <c r="B240" s="58"/>
      <c r="C240" s="58"/>
      <c r="D240" s="59"/>
      <c r="E240" s="58"/>
      <c r="F240" s="58"/>
      <c r="G240" s="58"/>
      <c r="J240" s="59"/>
      <c r="K240" s="59"/>
      <c r="L240" s="59"/>
      <c r="M240" s="59"/>
      <c r="N240" s="58"/>
      <c r="O240" s="59"/>
      <c r="P240" s="59"/>
      <c r="Q240" s="59"/>
      <c r="R240" s="59"/>
      <c r="S240" s="58"/>
      <c r="T240" s="59"/>
      <c r="U240" s="59"/>
      <c r="V240" s="58"/>
      <c r="W240" s="58"/>
      <c r="X240" s="58"/>
      <c r="Y240" s="58"/>
    </row>
    <row r="241" spans="2:25" ht="22.5" customHeight="1">
      <c r="B241" s="58"/>
      <c r="C241" s="58"/>
      <c r="D241" s="59"/>
      <c r="E241" s="58"/>
      <c r="F241" s="58"/>
      <c r="G241" s="58"/>
      <c r="J241" s="59"/>
      <c r="K241" s="59"/>
      <c r="L241" s="59"/>
      <c r="M241" s="59"/>
      <c r="N241" s="58"/>
      <c r="O241" s="59"/>
      <c r="P241" s="59"/>
      <c r="Q241" s="59"/>
      <c r="R241" s="59"/>
      <c r="S241" s="58"/>
      <c r="T241" s="59"/>
      <c r="U241" s="59"/>
      <c r="V241" s="58"/>
      <c r="W241" s="58"/>
      <c r="X241" s="58"/>
      <c r="Y241" s="58"/>
    </row>
    <row r="242" spans="2:25" ht="22.5" customHeight="1">
      <c r="B242" s="58"/>
      <c r="C242" s="58"/>
      <c r="D242" s="59"/>
      <c r="E242" s="58"/>
      <c r="F242" s="58"/>
      <c r="G242" s="58"/>
      <c r="J242" s="59"/>
      <c r="K242" s="59"/>
      <c r="L242" s="59"/>
      <c r="M242" s="59"/>
      <c r="N242" s="58"/>
      <c r="O242" s="59"/>
      <c r="P242" s="59"/>
      <c r="Q242" s="59"/>
      <c r="R242" s="59"/>
      <c r="S242" s="58"/>
      <c r="T242" s="59"/>
      <c r="U242" s="59"/>
      <c r="V242" s="58"/>
      <c r="W242" s="58"/>
      <c r="X242" s="58"/>
      <c r="Y242" s="58"/>
    </row>
    <row r="243" spans="2:25" ht="22.5" customHeight="1">
      <c r="B243" s="58"/>
      <c r="C243" s="58"/>
      <c r="D243" s="59"/>
      <c r="E243" s="58"/>
      <c r="F243" s="58"/>
      <c r="G243" s="58"/>
      <c r="J243" s="59"/>
      <c r="K243" s="59"/>
      <c r="L243" s="59"/>
      <c r="M243" s="59"/>
      <c r="N243" s="58"/>
      <c r="O243" s="59"/>
      <c r="P243" s="59"/>
      <c r="Q243" s="59"/>
      <c r="R243" s="59"/>
      <c r="S243" s="58"/>
      <c r="T243" s="59"/>
      <c r="U243" s="59"/>
      <c r="V243" s="58"/>
      <c r="W243" s="58"/>
      <c r="X243" s="58"/>
      <c r="Y243" s="58"/>
    </row>
    <row r="244" spans="2:25" ht="22.5" customHeight="1">
      <c r="B244" s="58"/>
      <c r="C244" s="58"/>
      <c r="D244" s="59"/>
      <c r="E244" s="58"/>
      <c r="F244" s="58"/>
      <c r="G244" s="58"/>
      <c r="J244" s="59"/>
      <c r="K244" s="59"/>
      <c r="L244" s="59"/>
      <c r="M244" s="59"/>
      <c r="N244" s="58"/>
      <c r="O244" s="59"/>
      <c r="P244" s="59"/>
      <c r="Q244" s="59"/>
      <c r="R244" s="59"/>
      <c r="S244" s="58"/>
      <c r="T244" s="59"/>
      <c r="U244" s="59"/>
      <c r="V244" s="58"/>
      <c r="W244" s="58"/>
      <c r="X244" s="58"/>
      <c r="Y244" s="58"/>
    </row>
    <row r="245" spans="2:25" ht="22.5" customHeight="1">
      <c r="B245" s="58"/>
      <c r="C245" s="58"/>
      <c r="D245" s="59"/>
      <c r="E245" s="58"/>
      <c r="F245" s="58"/>
      <c r="G245" s="58"/>
      <c r="J245" s="59"/>
      <c r="K245" s="59"/>
      <c r="L245" s="59"/>
      <c r="M245" s="59"/>
      <c r="N245" s="58"/>
      <c r="O245" s="59"/>
      <c r="P245" s="59"/>
      <c r="Q245" s="59"/>
      <c r="R245" s="59"/>
      <c r="S245" s="58"/>
      <c r="T245" s="59"/>
      <c r="U245" s="59"/>
      <c r="V245" s="58"/>
      <c r="W245" s="58"/>
      <c r="X245" s="58"/>
      <c r="Y245" s="58"/>
    </row>
    <row r="246" spans="2:25" ht="22.5" customHeight="1">
      <c r="B246" s="58"/>
      <c r="C246" s="58"/>
      <c r="D246" s="59"/>
      <c r="E246" s="58"/>
      <c r="F246" s="58"/>
      <c r="G246" s="58"/>
      <c r="J246" s="59"/>
      <c r="K246" s="59"/>
      <c r="L246" s="59"/>
      <c r="M246" s="59"/>
      <c r="N246" s="58"/>
      <c r="O246" s="59"/>
      <c r="P246" s="59"/>
      <c r="Q246" s="59"/>
      <c r="R246" s="59"/>
      <c r="S246" s="58"/>
      <c r="T246" s="59"/>
      <c r="U246" s="59"/>
      <c r="V246" s="58"/>
      <c r="W246" s="58"/>
      <c r="X246" s="58"/>
      <c r="Y246" s="58"/>
    </row>
    <row r="247" spans="2:25" ht="22.5" customHeight="1">
      <c r="B247" s="58"/>
      <c r="C247" s="58"/>
      <c r="D247" s="59"/>
      <c r="E247" s="58"/>
      <c r="F247" s="58"/>
      <c r="G247" s="58"/>
      <c r="J247" s="59"/>
      <c r="K247" s="59"/>
      <c r="L247" s="59"/>
      <c r="M247" s="59"/>
      <c r="N247" s="58"/>
      <c r="O247" s="59"/>
      <c r="P247" s="59"/>
      <c r="Q247" s="59"/>
      <c r="R247" s="59"/>
      <c r="S247" s="58"/>
      <c r="T247" s="59"/>
      <c r="U247" s="59"/>
      <c r="V247" s="58"/>
      <c r="W247" s="58"/>
      <c r="X247" s="58"/>
      <c r="Y247" s="58"/>
    </row>
    <row r="248" spans="2:25" ht="22.5" customHeight="1">
      <c r="B248" s="58"/>
      <c r="C248" s="58"/>
      <c r="D248" s="59"/>
      <c r="E248" s="58"/>
      <c r="F248" s="58"/>
      <c r="G248" s="58"/>
      <c r="J248" s="59"/>
      <c r="K248" s="59"/>
      <c r="L248" s="59"/>
      <c r="M248" s="59"/>
      <c r="N248" s="58"/>
      <c r="O248" s="59"/>
      <c r="P248" s="59"/>
      <c r="Q248" s="59"/>
      <c r="R248" s="59"/>
      <c r="S248" s="58"/>
      <c r="T248" s="59"/>
      <c r="U248" s="59"/>
      <c r="V248" s="58"/>
      <c r="W248" s="58"/>
      <c r="X248" s="58"/>
      <c r="Y248" s="58"/>
    </row>
    <row r="249" spans="2:25" ht="22.5" customHeight="1">
      <c r="B249" s="58"/>
      <c r="C249" s="58"/>
      <c r="D249" s="59"/>
      <c r="E249" s="58"/>
      <c r="F249" s="58"/>
      <c r="G249" s="58"/>
      <c r="J249" s="59"/>
      <c r="K249" s="59"/>
      <c r="L249" s="59"/>
      <c r="M249" s="59"/>
      <c r="N249" s="58"/>
      <c r="O249" s="59"/>
      <c r="P249" s="59"/>
      <c r="Q249" s="59"/>
      <c r="R249" s="59"/>
      <c r="S249" s="58"/>
      <c r="T249" s="59"/>
      <c r="U249" s="59"/>
      <c r="V249" s="58"/>
      <c r="W249" s="58"/>
      <c r="X249" s="58"/>
      <c r="Y249" s="58"/>
    </row>
    <row r="250" spans="2:25" ht="22.5" customHeight="1">
      <c r="B250" s="58"/>
      <c r="C250" s="58"/>
      <c r="D250" s="59"/>
      <c r="E250" s="58"/>
      <c r="F250" s="58"/>
      <c r="G250" s="58"/>
      <c r="J250" s="59"/>
      <c r="K250" s="59"/>
      <c r="L250" s="59"/>
      <c r="M250" s="59"/>
      <c r="N250" s="58"/>
      <c r="O250" s="59"/>
      <c r="P250" s="59"/>
      <c r="Q250" s="59"/>
      <c r="R250" s="59"/>
      <c r="S250" s="58"/>
      <c r="T250" s="59"/>
      <c r="U250" s="59"/>
      <c r="V250" s="58"/>
      <c r="W250" s="58"/>
      <c r="X250" s="58"/>
      <c r="Y250" s="58"/>
    </row>
    <row r="251" spans="2:25" ht="22.5" customHeight="1">
      <c r="B251" s="58"/>
      <c r="C251" s="58"/>
      <c r="D251" s="59"/>
      <c r="E251" s="58"/>
      <c r="F251" s="58"/>
      <c r="G251" s="58"/>
      <c r="J251" s="59"/>
      <c r="K251" s="59"/>
      <c r="L251" s="59"/>
      <c r="M251" s="59"/>
      <c r="N251" s="58"/>
      <c r="O251" s="59"/>
      <c r="P251" s="59"/>
      <c r="Q251" s="59"/>
      <c r="R251" s="59"/>
      <c r="S251" s="58"/>
      <c r="T251" s="59"/>
      <c r="U251" s="59"/>
      <c r="V251" s="58"/>
      <c r="W251" s="58"/>
      <c r="X251" s="58"/>
      <c r="Y251" s="58"/>
    </row>
    <row r="252" spans="2:25" ht="22.5" customHeight="1">
      <c r="B252" s="58"/>
      <c r="C252" s="58"/>
      <c r="D252" s="59"/>
      <c r="E252" s="58"/>
      <c r="F252" s="58"/>
      <c r="G252" s="58"/>
      <c r="J252" s="59"/>
      <c r="K252" s="59"/>
      <c r="L252" s="59"/>
      <c r="M252" s="59"/>
      <c r="N252" s="58"/>
      <c r="O252" s="59"/>
      <c r="P252" s="59"/>
      <c r="Q252" s="59"/>
      <c r="R252" s="59"/>
      <c r="S252" s="58"/>
      <c r="T252" s="59"/>
      <c r="U252" s="59"/>
      <c r="V252" s="58"/>
      <c r="W252" s="58"/>
      <c r="X252" s="58"/>
      <c r="Y252" s="58"/>
    </row>
    <row r="253" spans="2:25" ht="22.5" customHeight="1">
      <c r="B253" s="58"/>
      <c r="C253" s="58"/>
      <c r="D253" s="59"/>
      <c r="E253" s="58"/>
      <c r="F253" s="58"/>
      <c r="G253" s="58"/>
      <c r="J253" s="59"/>
      <c r="K253" s="59"/>
      <c r="L253" s="59"/>
      <c r="M253" s="59"/>
      <c r="N253" s="58"/>
      <c r="O253" s="59"/>
      <c r="P253" s="59"/>
      <c r="Q253" s="59"/>
      <c r="R253" s="59"/>
      <c r="S253" s="58"/>
      <c r="T253" s="59"/>
      <c r="U253" s="59"/>
      <c r="V253" s="58"/>
      <c r="W253" s="58"/>
      <c r="X253" s="58"/>
      <c r="Y253" s="58"/>
    </row>
    <row r="254" spans="2:25" ht="22.5" customHeight="1">
      <c r="B254" s="58"/>
      <c r="C254" s="58"/>
      <c r="D254" s="59"/>
      <c r="E254" s="58"/>
      <c r="F254" s="58"/>
      <c r="G254" s="58"/>
      <c r="J254" s="59"/>
      <c r="K254" s="59"/>
      <c r="L254" s="59"/>
      <c r="M254" s="59"/>
      <c r="N254" s="58"/>
      <c r="O254" s="59"/>
      <c r="P254" s="59"/>
      <c r="Q254" s="59"/>
      <c r="R254" s="59"/>
      <c r="S254" s="58"/>
      <c r="T254" s="59"/>
      <c r="U254" s="59"/>
      <c r="V254" s="58"/>
      <c r="W254" s="58"/>
      <c r="X254" s="58"/>
      <c r="Y254" s="58"/>
    </row>
    <row r="255" spans="2:25" ht="22.5" customHeight="1">
      <c r="B255" s="58"/>
      <c r="C255" s="58"/>
      <c r="D255" s="59"/>
      <c r="E255" s="58"/>
      <c r="F255" s="58"/>
      <c r="G255" s="58"/>
      <c r="J255" s="59"/>
      <c r="K255" s="59"/>
      <c r="L255" s="59"/>
      <c r="M255" s="59"/>
      <c r="N255" s="58"/>
      <c r="O255" s="59"/>
      <c r="P255" s="59"/>
      <c r="Q255" s="59"/>
      <c r="R255" s="59"/>
      <c r="S255" s="58"/>
      <c r="T255" s="59"/>
      <c r="U255" s="59"/>
      <c r="V255" s="58"/>
      <c r="W255" s="58"/>
      <c r="X255" s="58"/>
      <c r="Y255" s="58"/>
    </row>
    <row r="256" spans="2:25" ht="22.5" customHeight="1">
      <c r="B256" s="58"/>
      <c r="C256" s="58"/>
      <c r="D256" s="59"/>
      <c r="E256" s="58"/>
      <c r="F256" s="58"/>
      <c r="G256" s="58"/>
      <c r="J256" s="59"/>
      <c r="K256" s="59"/>
      <c r="L256" s="59"/>
      <c r="M256" s="59"/>
      <c r="N256" s="58"/>
      <c r="O256" s="59"/>
      <c r="P256" s="59"/>
      <c r="Q256" s="59"/>
      <c r="R256" s="59"/>
      <c r="S256" s="58"/>
      <c r="T256" s="59"/>
      <c r="U256" s="59"/>
      <c r="V256" s="58"/>
      <c r="W256" s="58"/>
      <c r="X256" s="58"/>
      <c r="Y256" s="58"/>
    </row>
    <row r="257" spans="2:25" ht="22.5" customHeight="1">
      <c r="B257" s="58"/>
      <c r="C257" s="58"/>
      <c r="D257" s="59"/>
      <c r="E257" s="58"/>
      <c r="F257" s="58"/>
      <c r="G257" s="58"/>
      <c r="J257" s="59"/>
      <c r="K257" s="59"/>
      <c r="L257" s="59"/>
      <c r="M257" s="59"/>
      <c r="N257" s="58"/>
      <c r="O257" s="59"/>
      <c r="P257" s="59"/>
      <c r="Q257" s="59"/>
      <c r="R257" s="59"/>
      <c r="S257" s="58"/>
      <c r="T257" s="59"/>
      <c r="U257" s="59"/>
      <c r="V257" s="58"/>
      <c r="W257" s="58"/>
      <c r="X257" s="58"/>
      <c r="Y257" s="58"/>
    </row>
    <row r="258" spans="2:25" ht="22.5" customHeight="1">
      <c r="B258" s="58"/>
      <c r="C258" s="58"/>
      <c r="D258" s="59"/>
      <c r="E258" s="58"/>
      <c r="F258" s="58"/>
      <c r="G258" s="58"/>
      <c r="J258" s="59"/>
      <c r="K258" s="59"/>
      <c r="L258" s="59"/>
      <c r="M258" s="59"/>
      <c r="N258" s="58"/>
      <c r="O258" s="59"/>
      <c r="P258" s="59"/>
      <c r="Q258" s="59"/>
      <c r="R258" s="59"/>
      <c r="S258" s="58"/>
      <c r="T258" s="59"/>
      <c r="U258" s="59"/>
      <c r="V258" s="58"/>
      <c r="W258" s="58"/>
      <c r="X258" s="58"/>
      <c r="Y258" s="58"/>
    </row>
    <row r="259" spans="2:25" ht="22.5" customHeight="1">
      <c r="B259" s="58"/>
      <c r="C259" s="58"/>
      <c r="D259" s="59"/>
      <c r="E259" s="58"/>
      <c r="F259" s="58"/>
      <c r="G259" s="58"/>
      <c r="J259" s="59"/>
      <c r="K259" s="59"/>
      <c r="L259" s="59"/>
      <c r="M259" s="59"/>
      <c r="N259" s="58"/>
      <c r="O259" s="59"/>
      <c r="P259" s="59"/>
      <c r="Q259" s="59"/>
      <c r="R259" s="59"/>
      <c r="S259" s="58"/>
      <c r="T259" s="59"/>
      <c r="U259" s="59"/>
      <c r="V259" s="58"/>
      <c r="W259" s="58"/>
      <c r="X259" s="58"/>
      <c r="Y259" s="58"/>
    </row>
    <row r="260" spans="2:25" ht="22.5" customHeight="1">
      <c r="B260" s="58"/>
      <c r="C260" s="58"/>
      <c r="D260" s="59"/>
      <c r="E260" s="58"/>
      <c r="F260" s="58"/>
      <c r="G260" s="58"/>
      <c r="J260" s="59"/>
      <c r="K260" s="59"/>
      <c r="L260" s="59"/>
      <c r="M260" s="59"/>
      <c r="N260" s="58"/>
      <c r="O260" s="59"/>
      <c r="P260" s="59"/>
      <c r="Q260" s="59"/>
      <c r="R260" s="59"/>
      <c r="S260" s="58"/>
      <c r="T260" s="59"/>
      <c r="U260" s="59"/>
      <c r="V260" s="58"/>
      <c r="W260" s="58"/>
      <c r="X260" s="58"/>
      <c r="Y260" s="58"/>
    </row>
    <row r="261" spans="2:25" ht="22.5" customHeight="1">
      <c r="B261" s="58"/>
      <c r="C261" s="58"/>
      <c r="D261" s="59"/>
      <c r="E261" s="58"/>
      <c r="F261" s="58"/>
      <c r="G261" s="58"/>
      <c r="J261" s="59"/>
      <c r="K261" s="59"/>
      <c r="L261" s="59"/>
      <c r="M261" s="59"/>
      <c r="N261" s="58"/>
      <c r="O261" s="59"/>
      <c r="P261" s="59"/>
      <c r="Q261" s="59"/>
      <c r="R261" s="59"/>
      <c r="S261" s="58"/>
      <c r="T261" s="59"/>
      <c r="U261" s="59"/>
      <c r="V261" s="58"/>
      <c r="W261" s="58"/>
      <c r="X261" s="58"/>
      <c r="Y261" s="58"/>
    </row>
    <row r="262" spans="2:25" ht="22.5" customHeight="1">
      <c r="B262" s="58"/>
      <c r="C262" s="58"/>
      <c r="D262" s="59"/>
      <c r="E262" s="58"/>
      <c r="F262" s="58"/>
      <c r="G262" s="58"/>
      <c r="J262" s="59"/>
      <c r="K262" s="59"/>
      <c r="L262" s="59"/>
      <c r="M262" s="59"/>
      <c r="N262" s="58"/>
      <c r="O262" s="59"/>
      <c r="P262" s="59"/>
      <c r="Q262" s="59"/>
      <c r="R262" s="59"/>
      <c r="S262" s="58"/>
      <c r="T262" s="59"/>
      <c r="U262" s="59"/>
      <c r="V262" s="58"/>
      <c r="W262" s="58"/>
      <c r="X262" s="58"/>
      <c r="Y262" s="58"/>
    </row>
    <row r="263" spans="2:25" ht="22.5" customHeight="1">
      <c r="B263" s="58"/>
      <c r="C263" s="58"/>
      <c r="D263" s="59"/>
      <c r="E263" s="58"/>
      <c r="F263" s="58"/>
      <c r="G263" s="58"/>
      <c r="J263" s="59"/>
      <c r="K263" s="59"/>
      <c r="L263" s="59"/>
      <c r="M263" s="59"/>
      <c r="N263" s="58"/>
      <c r="O263" s="59"/>
      <c r="P263" s="59"/>
      <c r="Q263" s="59"/>
      <c r="R263" s="59"/>
      <c r="S263" s="58"/>
      <c r="T263" s="59"/>
      <c r="U263" s="59"/>
      <c r="V263" s="58"/>
      <c r="W263" s="58"/>
      <c r="X263" s="58"/>
      <c r="Y263" s="58"/>
    </row>
    <row r="264" spans="2:25" ht="22.5" customHeight="1">
      <c r="B264" s="58"/>
      <c r="C264" s="58"/>
      <c r="D264" s="59"/>
      <c r="E264" s="58"/>
      <c r="F264" s="58"/>
      <c r="G264" s="58"/>
      <c r="J264" s="59"/>
      <c r="K264" s="59"/>
      <c r="L264" s="59"/>
      <c r="M264" s="59"/>
      <c r="N264" s="58"/>
      <c r="O264" s="59"/>
      <c r="P264" s="59"/>
      <c r="Q264" s="59"/>
      <c r="R264" s="59"/>
      <c r="S264" s="58"/>
      <c r="T264" s="59"/>
      <c r="U264" s="59"/>
      <c r="V264" s="58"/>
      <c r="W264" s="58"/>
      <c r="X264" s="58"/>
      <c r="Y264" s="58"/>
    </row>
    <row r="265" spans="2:25" ht="22.5" customHeight="1">
      <c r="B265" s="58"/>
      <c r="C265" s="58"/>
      <c r="D265" s="59"/>
      <c r="E265" s="58"/>
      <c r="F265" s="58"/>
      <c r="G265" s="58"/>
      <c r="J265" s="59"/>
      <c r="K265" s="59"/>
      <c r="L265" s="59"/>
      <c r="M265" s="59"/>
      <c r="N265" s="58"/>
      <c r="O265" s="59"/>
      <c r="P265" s="59"/>
      <c r="Q265" s="59"/>
      <c r="R265" s="59"/>
      <c r="S265" s="58"/>
      <c r="T265" s="59"/>
      <c r="U265" s="59"/>
      <c r="V265" s="58"/>
      <c r="W265" s="58"/>
      <c r="X265" s="58"/>
      <c r="Y265" s="58"/>
    </row>
    <row r="266" spans="2:25" ht="22.5" customHeight="1">
      <c r="B266" s="58"/>
      <c r="C266" s="58"/>
      <c r="D266" s="59"/>
      <c r="E266" s="58"/>
      <c r="F266" s="58"/>
      <c r="G266" s="58"/>
      <c r="J266" s="59"/>
      <c r="K266" s="59"/>
      <c r="L266" s="59"/>
      <c r="M266" s="59"/>
      <c r="N266" s="58"/>
      <c r="O266" s="59"/>
      <c r="P266" s="59"/>
      <c r="Q266" s="59"/>
      <c r="R266" s="59"/>
      <c r="S266" s="58"/>
      <c r="T266" s="59"/>
      <c r="U266" s="59"/>
      <c r="V266" s="58"/>
      <c r="W266" s="58"/>
      <c r="X266" s="58"/>
      <c r="Y266" s="58"/>
    </row>
    <row r="267" spans="2:25" ht="22.5" customHeight="1">
      <c r="B267" s="58"/>
      <c r="C267" s="58"/>
      <c r="D267" s="59"/>
      <c r="E267" s="58"/>
      <c r="F267" s="58"/>
      <c r="G267" s="58"/>
      <c r="J267" s="59"/>
      <c r="K267" s="59"/>
      <c r="L267" s="59"/>
      <c r="M267" s="59"/>
      <c r="N267" s="58"/>
      <c r="O267" s="59"/>
      <c r="P267" s="59"/>
      <c r="Q267" s="59"/>
      <c r="R267" s="59"/>
      <c r="S267" s="58"/>
      <c r="T267" s="59"/>
      <c r="U267" s="59"/>
      <c r="V267" s="58"/>
      <c r="W267" s="58"/>
      <c r="X267" s="58"/>
      <c r="Y267" s="58"/>
    </row>
    <row r="268" spans="2:25" ht="22.5" customHeight="1">
      <c r="B268" s="58"/>
      <c r="C268" s="58"/>
      <c r="D268" s="59"/>
      <c r="E268" s="58"/>
      <c r="F268" s="58"/>
      <c r="G268" s="58"/>
      <c r="J268" s="59"/>
      <c r="K268" s="59"/>
      <c r="L268" s="59"/>
      <c r="M268" s="59"/>
      <c r="N268" s="58"/>
      <c r="O268" s="59"/>
      <c r="P268" s="59"/>
      <c r="Q268" s="59"/>
      <c r="R268" s="59"/>
      <c r="S268" s="58"/>
      <c r="T268" s="59"/>
      <c r="U268" s="59"/>
      <c r="V268" s="58"/>
      <c r="W268" s="58"/>
      <c r="X268" s="58"/>
      <c r="Y268" s="58"/>
    </row>
    <row r="269" spans="2:25" ht="22.5" customHeight="1">
      <c r="B269" s="58"/>
      <c r="C269" s="58"/>
      <c r="D269" s="59"/>
      <c r="E269" s="58"/>
      <c r="F269" s="58"/>
      <c r="G269" s="58"/>
      <c r="J269" s="59"/>
      <c r="K269" s="59"/>
      <c r="L269" s="59"/>
      <c r="M269" s="59"/>
      <c r="N269" s="58"/>
      <c r="O269" s="59"/>
      <c r="P269" s="59"/>
      <c r="Q269" s="59"/>
      <c r="R269" s="59"/>
      <c r="S269" s="58"/>
      <c r="T269" s="59"/>
      <c r="U269" s="59"/>
      <c r="V269" s="58"/>
      <c r="W269" s="58"/>
      <c r="X269" s="58"/>
      <c r="Y269" s="58"/>
    </row>
    <row r="270" spans="2:25" ht="22.5" customHeight="1">
      <c r="B270" s="58"/>
      <c r="C270" s="58"/>
      <c r="D270" s="59"/>
      <c r="E270" s="58"/>
      <c r="F270" s="58"/>
      <c r="G270" s="58"/>
      <c r="J270" s="59"/>
      <c r="K270" s="59"/>
      <c r="L270" s="59"/>
      <c r="M270" s="59"/>
      <c r="N270" s="58"/>
      <c r="O270" s="59"/>
      <c r="P270" s="59"/>
      <c r="Q270" s="59"/>
      <c r="R270" s="59"/>
      <c r="S270" s="58"/>
      <c r="T270" s="59"/>
      <c r="U270" s="59"/>
      <c r="V270" s="58"/>
      <c r="W270" s="58"/>
      <c r="X270" s="58"/>
      <c r="Y270" s="58"/>
    </row>
    <row r="271" spans="2:25" ht="22.5" customHeight="1">
      <c r="B271" s="58"/>
      <c r="C271" s="58"/>
      <c r="D271" s="59"/>
      <c r="E271" s="58"/>
      <c r="F271" s="58"/>
      <c r="G271" s="58"/>
      <c r="J271" s="59"/>
      <c r="K271" s="59"/>
      <c r="L271" s="59"/>
      <c r="M271" s="59"/>
      <c r="N271" s="58"/>
      <c r="O271" s="59"/>
      <c r="P271" s="59"/>
      <c r="Q271" s="59"/>
      <c r="R271" s="59"/>
      <c r="S271" s="58"/>
      <c r="T271" s="59"/>
      <c r="U271" s="59"/>
      <c r="V271" s="58"/>
      <c r="W271" s="58"/>
      <c r="X271" s="58"/>
      <c r="Y271" s="58"/>
    </row>
    <row r="272" spans="2:25" ht="22.5" customHeight="1">
      <c r="B272" s="58"/>
      <c r="C272" s="58"/>
      <c r="D272" s="59"/>
      <c r="E272" s="58"/>
      <c r="F272" s="58"/>
      <c r="G272" s="58"/>
      <c r="J272" s="59"/>
      <c r="K272" s="59"/>
      <c r="L272" s="59"/>
      <c r="M272" s="59"/>
      <c r="N272" s="58"/>
      <c r="O272" s="59"/>
      <c r="P272" s="59"/>
      <c r="Q272" s="59"/>
      <c r="R272" s="59"/>
      <c r="S272" s="58"/>
      <c r="T272" s="59"/>
      <c r="U272" s="59"/>
      <c r="V272" s="58"/>
      <c r="W272" s="58"/>
      <c r="X272" s="58"/>
      <c r="Y272" s="58"/>
    </row>
    <row r="273" spans="2:25" ht="22.5" customHeight="1">
      <c r="B273" s="58"/>
      <c r="C273" s="58"/>
      <c r="D273" s="59"/>
      <c r="E273" s="58"/>
      <c r="F273" s="58"/>
      <c r="G273" s="58"/>
      <c r="J273" s="59"/>
      <c r="K273" s="59"/>
      <c r="L273" s="59"/>
      <c r="M273" s="59"/>
      <c r="N273" s="58"/>
      <c r="O273" s="59"/>
      <c r="P273" s="59"/>
      <c r="Q273" s="59"/>
      <c r="R273" s="59"/>
      <c r="S273" s="58"/>
      <c r="T273" s="59"/>
      <c r="U273" s="59"/>
      <c r="V273" s="58"/>
      <c r="W273" s="58"/>
      <c r="X273" s="58"/>
      <c r="Y273" s="58"/>
    </row>
    <row r="274" spans="2:25" ht="22.5" customHeight="1">
      <c r="B274" s="58"/>
      <c r="C274" s="58"/>
      <c r="D274" s="59"/>
      <c r="E274" s="58"/>
      <c r="F274" s="58"/>
      <c r="G274" s="58"/>
      <c r="J274" s="59"/>
      <c r="K274" s="59"/>
      <c r="L274" s="59"/>
      <c r="M274" s="59"/>
      <c r="N274" s="58"/>
      <c r="O274" s="59"/>
      <c r="P274" s="59"/>
      <c r="Q274" s="59"/>
      <c r="R274" s="59"/>
      <c r="S274" s="58"/>
      <c r="T274" s="59"/>
      <c r="U274" s="59"/>
      <c r="V274" s="58"/>
      <c r="W274" s="58"/>
      <c r="X274" s="58"/>
      <c r="Y274" s="58"/>
    </row>
    <row r="275" spans="2:25" ht="22.5" customHeight="1">
      <c r="B275" s="58"/>
      <c r="C275" s="58"/>
      <c r="D275" s="59"/>
      <c r="E275" s="58"/>
      <c r="F275" s="58"/>
      <c r="G275" s="58"/>
      <c r="J275" s="59"/>
      <c r="K275" s="59"/>
      <c r="L275" s="59"/>
      <c r="M275" s="59"/>
      <c r="N275" s="58"/>
      <c r="O275" s="59"/>
      <c r="P275" s="59"/>
      <c r="Q275" s="59"/>
      <c r="R275" s="59"/>
      <c r="S275" s="58"/>
      <c r="T275" s="59"/>
      <c r="U275" s="59"/>
      <c r="V275" s="58"/>
      <c r="W275" s="58"/>
      <c r="X275" s="58"/>
      <c r="Y275" s="58"/>
    </row>
    <row r="276" spans="2:25" ht="22.5" customHeight="1">
      <c r="B276" s="58"/>
      <c r="C276" s="58"/>
      <c r="D276" s="59"/>
      <c r="E276" s="58"/>
      <c r="F276" s="58"/>
      <c r="G276" s="58"/>
      <c r="J276" s="59"/>
      <c r="K276" s="59"/>
      <c r="L276" s="59"/>
      <c r="M276" s="59"/>
      <c r="N276" s="58"/>
      <c r="O276" s="59"/>
      <c r="P276" s="59"/>
      <c r="Q276" s="59"/>
      <c r="R276" s="59"/>
      <c r="S276" s="58"/>
      <c r="T276" s="59"/>
      <c r="U276" s="59"/>
      <c r="V276" s="58"/>
      <c r="W276" s="58"/>
      <c r="X276" s="58"/>
      <c r="Y276" s="58"/>
    </row>
    <row r="277" spans="2:25" ht="22.5" customHeight="1">
      <c r="B277" s="58"/>
      <c r="C277" s="58"/>
      <c r="D277" s="59"/>
      <c r="E277" s="58"/>
      <c r="F277" s="58"/>
      <c r="G277" s="58"/>
      <c r="J277" s="59"/>
      <c r="K277" s="59"/>
      <c r="L277" s="59"/>
      <c r="M277" s="59"/>
      <c r="N277" s="58"/>
      <c r="O277" s="59"/>
      <c r="P277" s="59"/>
      <c r="Q277" s="59"/>
      <c r="R277" s="59"/>
      <c r="S277" s="58"/>
      <c r="T277" s="59"/>
      <c r="U277" s="59"/>
      <c r="V277" s="58"/>
      <c r="W277" s="58"/>
      <c r="X277" s="58"/>
      <c r="Y277" s="58"/>
    </row>
    <row r="278" spans="2:25" ht="22.5" customHeight="1">
      <c r="B278" s="58"/>
      <c r="C278" s="58"/>
      <c r="D278" s="59"/>
      <c r="E278" s="58"/>
      <c r="F278" s="58"/>
      <c r="G278" s="58"/>
      <c r="J278" s="59"/>
      <c r="K278" s="59"/>
      <c r="L278" s="59"/>
      <c r="M278" s="59"/>
      <c r="N278" s="58"/>
      <c r="O278" s="59"/>
      <c r="P278" s="59"/>
      <c r="Q278" s="59"/>
      <c r="R278" s="59"/>
      <c r="S278" s="58"/>
      <c r="T278" s="59"/>
      <c r="U278" s="59"/>
      <c r="V278" s="58"/>
      <c r="W278" s="58"/>
      <c r="X278" s="58"/>
      <c r="Y278" s="58"/>
    </row>
    <row r="279" spans="2:25" ht="22.5" customHeight="1">
      <c r="B279" s="58"/>
      <c r="C279" s="58"/>
      <c r="D279" s="59"/>
      <c r="E279" s="58"/>
      <c r="F279" s="58"/>
      <c r="G279" s="58"/>
      <c r="J279" s="59"/>
      <c r="K279" s="59"/>
      <c r="L279" s="59"/>
      <c r="M279" s="59"/>
      <c r="N279" s="58"/>
      <c r="O279" s="59"/>
      <c r="P279" s="59"/>
      <c r="Q279" s="59"/>
      <c r="R279" s="59"/>
      <c r="S279" s="58"/>
      <c r="T279" s="59"/>
      <c r="U279" s="59"/>
      <c r="V279" s="58"/>
      <c r="W279" s="58"/>
      <c r="X279" s="58"/>
      <c r="Y279" s="58"/>
    </row>
    <row r="280" spans="2:25" ht="22.5" customHeight="1">
      <c r="B280" s="58"/>
      <c r="C280" s="58"/>
      <c r="D280" s="59"/>
      <c r="E280" s="58"/>
      <c r="F280" s="58"/>
      <c r="G280" s="58"/>
      <c r="J280" s="59"/>
      <c r="K280" s="59"/>
      <c r="L280" s="59"/>
      <c r="M280" s="59"/>
      <c r="N280" s="58"/>
      <c r="O280" s="59"/>
      <c r="P280" s="59"/>
      <c r="Q280" s="59"/>
      <c r="R280" s="59"/>
      <c r="S280" s="58"/>
      <c r="T280" s="59"/>
      <c r="U280" s="59"/>
      <c r="V280" s="58"/>
      <c r="W280" s="58"/>
      <c r="X280" s="58"/>
      <c r="Y280" s="58"/>
    </row>
    <row r="281" spans="2:25" ht="22.5" customHeight="1">
      <c r="B281" s="58"/>
      <c r="C281" s="58"/>
      <c r="D281" s="59"/>
      <c r="E281" s="58"/>
      <c r="F281" s="58"/>
      <c r="G281" s="58"/>
      <c r="J281" s="59"/>
      <c r="K281" s="59"/>
      <c r="L281" s="59"/>
      <c r="M281" s="59"/>
      <c r="N281" s="58"/>
      <c r="O281" s="59"/>
      <c r="P281" s="59"/>
      <c r="Q281" s="59"/>
      <c r="R281" s="59"/>
      <c r="S281" s="58"/>
      <c r="T281" s="59"/>
      <c r="U281" s="59"/>
      <c r="V281" s="58"/>
      <c r="W281" s="58"/>
      <c r="X281" s="58"/>
      <c r="Y281" s="58"/>
    </row>
    <row r="282" spans="2:25" ht="22.5" customHeight="1">
      <c r="B282" s="58"/>
      <c r="C282" s="58"/>
      <c r="D282" s="59"/>
      <c r="E282" s="58"/>
      <c r="F282" s="58"/>
      <c r="G282" s="58"/>
      <c r="J282" s="59"/>
      <c r="K282" s="59"/>
      <c r="L282" s="59"/>
      <c r="M282" s="59"/>
      <c r="N282" s="58"/>
      <c r="O282" s="59"/>
      <c r="P282" s="59"/>
      <c r="Q282" s="59"/>
      <c r="R282" s="59"/>
      <c r="S282" s="58"/>
      <c r="T282" s="59"/>
      <c r="U282" s="59"/>
      <c r="V282" s="58"/>
      <c r="W282" s="58"/>
      <c r="X282" s="58"/>
      <c r="Y282" s="58"/>
    </row>
    <row r="283" spans="2:25" ht="22.5" customHeight="1">
      <c r="B283" s="58"/>
      <c r="C283" s="58"/>
      <c r="D283" s="59"/>
      <c r="E283" s="58"/>
      <c r="F283" s="58"/>
      <c r="G283" s="58"/>
      <c r="J283" s="59"/>
      <c r="K283" s="59"/>
      <c r="L283" s="59"/>
      <c r="M283" s="59"/>
      <c r="N283" s="58"/>
      <c r="O283" s="59"/>
      <c r="P283" s="59"/>
      <c r="Q283" s="59"/>
      <c r="R283" s="59"/>
      <c r="S283" s="58"/>
      <c r="T283" s="59"/>
      <c r="U283" s="59"/>
      <c r="V283" s="58"/>
      <c r="W283" s="58"/>
      <c r="X283" s="58"/>
      <c r="Y283" s="58"/>
    </row>
    <row r="284" spans="2:25" ht="22.5" customHeight="1">
      <c r="B284" s="58"/>
      <c r="C284" s="58"/>
      <c r="D284" s="59"/>
      <c r="E284" s="58"/>
      <c r="F284" s="58"/>
      <c r="G284" s="58"/>
      <c r="J284" s="59"/>
      <c r="K284" s="59"/>
      <c r="L284" s="59"/>
      <c r="M284" s="59"/>
      <c r="N284" s="58"/>
      <c r="O284" s="59"/>
      <c r="P284" s="59"/>
      <c r="Q284" s="59"/>
      <c r="R284" s="59"/>
      <c r="S284" s="58"/>
      <c r="T284" s="59"/>
      <c r="U284" s="59"/>
      <c r="V284" s="58"/>
      <c r="W284" s="58"/>
      <c r="X284" s="58"/>
      <c r="Y284" s="58"/>
    </row>
    <row r="285" spans="2:25" ht="22.5" customHeight="1">
      <c r="B285" s="58"/>
      <c r="C285" s="58"/>
      <c r="D285" s="59"/>
      <c r="E285" s="58"/>
      <c r="F285" s="58"/>
      <c r="G285" s="58"/>
      <c r="J285" s="59"/>
      <c r="K285" s="59"/>
      <c r="L285" s="59"/>
      <c r="M285" s="59"/>
      <c r="N285" s="58"/>
      <c r="O285" s="59"/>
      <c r="P285" s="59"/>
      <c r="Q285" s="59"/>
      <c r="R285" s="59"/>
      <c r="S285" s="58"/>
      <c r="T285" s="59"/>
      <c r="U285" s="59"/>
      <c r="V285" s="58"/>
      <c r="W285" s="58"/>
      <c r="X285" s="58"/>
      <c r="Y285" s="58"/>
    </row>
    <row r="286" spans="2:25" ht="22.5" customHeight="1">
      <c r="B286" s="58"/>
      <c r="C286" s="58"/>
      <c r="D286" s="59"/>
      <c r="E286" s="58"/>
      <c r="F286" s="58"/>
      <c r="G286" s="58"/>
      <c r="J286" s="59"/>
      <c r="K286" s="59"/>
      <c r="L286" s="59"/>
      <c r="M286" s="59"/>
      <c r="N286" s="58"/>
      <c r="O286" s="59"/>
      <c r="P286" s="59"/>
      <c r="Q286" s="59"/>
      <c r="R286" s="59"/>
      <c r="S286" s="58"/>
      <c r="T286" s="59"/>
      <c r="U286" s="59"/>
      <c r="V286" s="58"/>
      <c r="W286" s="58"/>
      <c r="X286" s="58"/>
      <c r="Y286" s="58"/>
    </row>
    <row r="287" spans="2:25" ht="22.5" customHeight="1">
      <c r="B287" s="58"/>
      <c r="C287" s="58"/>
      <c r="D287" s="59"/>
      <c r="E287" s="58"/>
      <c r="F287" s="58"/>
      <c r="G287" s="58"/>
      <c r="J287" s="59"/>
      <c r="K287" s="59"/>
      <c r="L287" s="59"/>
      <c r="M287" s="59"/>
      <c r="N287" s="58"/>
      <c r="O287" s="59"/>
      <c r="P287" s="59"/>
      <c r="Q287" s="59"/>
      <c r="R287" s="59"/>
      <c r="S287" s="58"/>
      <c r="T287" s="59"/>
      <c r="U287" s="59"/>
      <c r="V287" s="58"/>
      <c r="W287" s="58"/>
      <c r="X287" s="58"/>
      <c r="Y287" s="58"/>
    </row>
    <row r="288" spans="2:25" ht="22.5" customHeight="1">
      <c r="B288" s="58"/>
      <c r="C288" s="58"/>
      <c r="D288" s="59"/>
      <c r="E288" s="58"/>
      <c r="F288" s="58"/>
      <c r="G288" s="58"/>
      <c r="J288" s="59"/>
      <c r="K288" s="59"/>
      <c r="L288" s="59"/>
      <c r="M288" s="59"/>
      <c r="N288" s="58"/>
      <c r="O288" s="59"/>
      <c r="P288" s="59"/>
      <c r="Q288" s="59"/>
      <c r="R288" s="59"/>
      <c r="S288" s="58"/>
      <c r="T288" s="59"/>
      <c r="U288" s="59"/>
      <c r="V288" s="58"/>
      <c r="W288" s="58"/>
      <c r="X288" s="58"/>
      <c r="Y288" s="58"/>
    </row>
    <row r="289" spans="2:25" ht="22.5" customHeight="1">
      <c r="B289" s="58"/>
      <c r="C289" s="58"/>
      <c r="D289" s="59"/>
      <c r="E289" s="58"/>
      <c r="F289" s="58"/>
      <c r="G289" s="58"/>
      <c r="J289" s="59"/>
      <c r="K289" s="59"/>
      <c r="L289" s="59"/>
      <c r="M289" s="59"/>
      <c r="N289" s="58"/>
      <c r="O289" s="59"/>
      <c r="P289" s="59"/>
      <c r="Q289" s="59"/>
      <c r="R289" s="59"/>
      <c r="S289" s="58"/>
      <c r="T289" s="59"/>
      <c r="U289" s="59"/>
      <c r="V289" s="58"/>
      <c r="W289" s="58"/>
      <c r="X289" s="58"/>
      <c r="Y289" s="58"/>
    </row>
    <row r="290" spans="2:25" ht="22.5" customHeight="1">
      <c r="B290" s="58"/>
      <c r="C290" s="58"/>
      <c r="D290" s="59"/>
      <c r="E290" s="58"/>
      <c r="F290" s="58"/>
      <c r="G290" s="58"/>
      <c r="J290" s="59"/>
      <c r="K290" s="59"/>
      <c r="L290" s="59"/>
      <c r="M290" s="59"/>
      <c r="N290" s="58"/>
      <c r="O290" s="59"/>
      <c r="P290" s="59"/>
      <c r="Q290" s="59"/>
      <c r="R290" s="59"/>
      <c r="S290" s="58"/>
      <c r="T290" s="59"/>
      <c r="U290" s="59"/>
      <c r="V290" s="58"/>
      <c r="W290" s="58"/>
      <c r="X290" s="58"/>
      <c r="Y290" s="58"/>
    </row>
    <row r="291" spans="2:25" ht="22.5" customHeight="1">
      <c r="B291" s="58"/>
      <c r="C291" s="58"/>
      <c r="D291" s="59"/>
      <c r="E291" s="58"/>
      <c r="F291" s="58"/>
      <c r="G291" s="58"/>
      <c r="J291" s="59"/>
      <c r="K291" s="59"/>
      <c r="L291" s="59"/>
      <c r="M291" s="59"/>
      <c r="N291" s="58"/>
      <c r="O291" s="59"/>
      <c r="P291" s="59"/>
      <c r="Q291" s="59"/>
      <c r="R291" s="59"/>
      <c r="S291" s="58"/>
      <c r="T291" s="59"/>
      <c r="U291" s="59"/>
      <c r="V291" s="58"/>
      <c r="W291" s="58"/>
      <c r="X291" s="58"/>
      <c r="Y291" s="58"/>
    </row>
    <row r="292" spans="2:25" ht="22.5" customHeight="1">
      <c r="B292" s="58"/>
      <c r="C292" s="58"/>
      <c r="D292" s="59"/>
      <c r="E292" s="58"/>
      <c r="F292" s="58"/>
      <c r="G292" s="58"/>
      <c r="J292" s="59"/>
      <c r="K292" s="59"/>
      <c r="L292" s="59"/>
      <c r="M292" s="59"/>
      <c r="N292" s="58"/>
      <c r="O292" s="59"/>
      <c r="P292" s="59"/>
      <c r="Q292" s="59"/>
      <c r="R292" s="59"/>
      <c r="S292" s="58"/>
      <c r="T292" s="59"/>
      <c r="U292" s="59"/>
      <c r="V292" s="58"/>
      <c r="W292" s="58"/>
      <c r="X292" s="58"/>
      <c r="Y292" s="58"/>
    </row>
    <row r="293" spans="2:25" ht="22.5" customHeight="1">
      <c r="B293" s="58"/>
      <c r="C293" s="58"/>
      <c r="D293" s="59"/>
      <c r="E293" s="58"/>
      <c r="F293" s="58"/>
      <c r="G293" s="58"/>
      <c r="J293" s="59"/>
      <c r="K293" s="59"/>
      <c r="L293" s="59"/>
      <c r="M293" s="59"/>
      <c r="N293" s="58"/>
      <c r="O293" s="59"/>
      <c r="P293" s="59"/>
      <c r="Q293" s="59"/>
      <c r="R293" s="59"/>
      <c r="S293" s="58"/>
      <c r="T293" s="59"/>
      <c r="U293" s="59"/>
      <c r="V293" s="58"/>
      <c r="W293" s="58"/>
      <c r="X293" s="58"/>
      <c r="Y293" s="58"/>
    </row>
    <row r="294" spans="2:25" ht="22.5" customHeight="1">
      <c r="B294" s="58"/>
      <c r="C294" s="58"/>
      <c r="D294" s="59"/>
      <c r="E294" s="58"/>
      <c r="F294" s="58"/>
      <c r="G294" s="58"/>
      <c r="J294" s="59"/>
      <c r="K294" s="59"/>
      <c r="L294" s="59"/>
      <c r="M294" s="59"/>
      <c r="N294" s="58"/>
      <c r="O294" s="59"/>
      <c r="P294" s="59"/>
      <c r="Q294" s="59"/>
      <c r="R294" s="59"/>
      <c r="S294" s="58"/>
      <c r="T294" s="59"/>
      <c r="U294" s="59"/>
      <c r="V294" s="58"/>
      <c r="W294" s="58"/>
      <c r="X294" s="58"/>
      <c r="Y294" s="58"/>
    </row>
    <row r="295" spans="2:25" ht="22.5" customHeight="1">
      <c r="B295" s="58"/>
      <c r="C295" s="58"/>
      <c r="D295" s="59"/>
      <c r="E295" s="58"/>
      <c r="F295" s="58"/>
      <c r="G295" s="58"/>
      <c r="J295" s="59"/>
      <c r="K295" s="59"/>
      <c r="L295" s="59"/>
      <c r="M295" s="59"/>
      <c r="N295" s="58"/>
      <c r="O295" s="59"/>
      <c r="P295" s="59"/>
      <c r="Q295" s="59"/>
      <c r="R295" s="59"/>
      <c r="S295" s="58"/>
      <c r="T295" s="59"/>
      <c r="U295" s="59"/>
      <c r="V295" s="58"/>
      <c r="W295" s="58"/>
      <c r="X295" s="58"/>
      <c r="Y295" s="58"/>
    </row>
    <row r="296" spans="2:25" ht="22.5" customHeight="1">
      <c r="B296" s="58"/>
      <c r="C296" s="58"/>
      <c r="D296" s="59"/>
      <c r="E296" s="58"/>
      <c r="F296" s="58"/>
      <c r="G296" s="58"/>
      <c r="J296" s="59"/>
      <c r="K296" s="59"/>
      <c r="L296" s="59"/>
      <c r="M296" s="59"/>
      <c r="N296" s="58"/>
      <c r="O296" s="59"/>
      <c r="P296" s="59"/>
      <c r="Q296" s="59"/>
      <c r="R296" s="59"/>
      <c r="S296" s="58"/>
      <c r="T296" s="59"/>
      <c r="U296" s="59"/>
      <c r="V296" s="58"/>
      <c r="W296" s="58"/>
      <c r="X296" s="58"/>
      <c r="Y296" s="58"/>
    </row>
    <row r="297" spans="2:25" ht="22.5" customHeight="1">
      <c r="B297" s="58"/>
      <c r="C297" s="58"/>
      <c r="D297" s="59"/>
      <c r="E297" s="58"/>
      <c r="F297" s="58"/>
      <c r="G297" s="58"/>
      <c r="J297" s="59"/>
      <c r="K297" s="59"/>
      <c r="L297" s="59"/>
      <c r="M297" s="59"/>
      <c r="N297" s="58"/>
      <c r="O297" s="59"/>
      <c r="P297" s="59"/>
      <c r="Q297" s="59"/>
      <c r="R297" s="59"/>
      <c r="S297" s="58"/>
      <c r="T297" s="59"/>
      <c r="U297" s="59"/>
      <c r="V297" s="58"/>
      <c r="W297" s="58"/>
      <c r="X297" s="58"/>
      <c r="Y297" s="58"/>
    </row>
    <row r="298" spans="2:25" ht="22.5" customHeight="1">
      <c r="B298" s="58"/>
      <c r="C298" s="58"/>
      <c r="D298" s="59"/>
      <c r="E298" s="58"/>
      <c r="F298" s="58"/>
      <c r="G298" s="58"/>
      <c r="J298" s="59"/>
      <c r="K298" s="59"/>
      <c r="L298" s="59"/>
      <c r="M298" s="59"/>
      <c r="N298" s="58"/>
      <c r="O298" s="59"/>
      <c r="P298" s="59"/>
      <c r="Q298" s="59"/>
      <c r="R298" s="59"/>
      <c r="S298" s="58"/>
      <c r="T298" s="59"/>
      <c r="U298" s="59"/>
      <c r="V298" s="58"/>
      <c r="W298" s="58"/>
      <c r="X298" s="58"/>
      <c r="Y298" s="58"/>
    </row>
    <row r="299" spans="2:25" ht="22.5" customHeight="1">
      <c r="B299" s="58"/>
      <c r="C299" s="58"/>
      <c r="D299" s="59"/>
      <c r="E299" s="58"/>
      <c r="F299" s="58"/>
      <c r="G299" s="58"/>
      <c r="J299" s="59"/>
      <c r="K299" s="59"/>
      <c r="L299" s="59"/>
      <c r="M299" s="59"/>
      <c r="N299" s="58"/>
      <c r="O299" s="59"/>
      <c r="P299" s="59"/>
      <c r="Q299" s="59"/>
      <c r="R299" s="59"/>
      <c r="S299" s="58"/>
      <c r="T299" s="59"/>
      <c r="U299" s="59"/>
      <c r="V299" s="58"/>
      <c r="W299" s="58"/>
      <c r="X299" s="58"/>
      <c r="Y299" s="58"/>
    </row>
    <row r="300" spans="2:25" ht="22.5" customHeight="1">
      <c r="B300" s="58"/>
      <c r="C300" s="58"/>
      <c r="D300" s="59"/>
      <c r="E300" s="58"/>
      <c r="F300" s="58"/>
      <c r="G300" s="58"/>
      <c r="J300" s="59"/>
      <c r="K300" s="59"/>
      <c r="L300" s="59"/>
      <c r="M300" s="59"/>
      <c r="N300" s="58"/>
      <c r="O300" s="59"/>
      <c r="P300" s="59"/>
      <c r="Q300" s="59"/>
      <c r="R300" s="59"/>
      <c r="S300" s="58"/>
      <c r="T300" s="59"/>
      <c r="U300" s="59"/>
      <c r="V300" s="58"/>
      <c r="W300" s="58"/>
      <c r="X300" s="58"/>
      <c r="Y300" s="58"/>
    </row>
    <row r="301" spans="2:25" ht="12.75">
      <c r="J301" s="7"/>
      <c r="K301" s="7"/>
      <c r="L301" s="7"/>
      <c r="M301" s="7"/>
      <c r="O301" s="7"/>
      <c r="P301" s="7"/>
      <c r="Q301" s="7"/>
      <c r="S301" s="7"/>
      <c r="U301" s="7"/>
      <c r="V301" s="7"/>
    </row>
    <row r="302" spans="2:25" ht="12.75">
      <c r="J302" s="7"/>
      <c r="K302" s="7"/>
      <c r="L302" s="7"/>
      <c r="M302" s="7"/>
      <c r="O302" s="7"/>
      <c r="P302" s="7"/>
      <c r="Q302" s="7"/>
      <c r="S302" s="7"/>
      <c r="U302" s="7"/>
      <c r="V302" s="7"/>
    </row>
    <row r="303" spans="2:25" ht="12.75">
      <c r="J303" s="7"/>
      <c r="K303" s="7"/>
      <c r="L303" s="7"/>
      <c r="M303" s="7"/>
      <c r="O303" s="7"/>
      <c r="P303" s="7"/>
      <c r="Q303" s="7"/>
      <c r="S303" s="7"/>
      <c r="U303" s="7"/>
      <c r="V303" s="7"/>
    </row>
    <row r="304" spans="2:25" ht="12.75">
      <c r="J304" s="7"/>
      <c r="K304" s="7"/>
      <c r="L304" s="7"/>
      <c r="M304" s="7"/>
      <c r="O304" s="7"/>
      <c r="P304" s="7"/>
      <c r="Q304" s="7"/>
      <c r="S304" s="7"/>
      <c r="U304" s="7"/>
      <c r="V304" s="7"/>
    </row>
    <row r="305" spans="10:22" ht="12.75">
      <c r="J305" s="7"/>
      <c r="K305" s="7"/>
      <c r="L305" s="7"/>
      <c r="M305" s="7"/>
      <c r="O305" s="7"/>
      <c r="P305" s="7"/>
      <c r="Q305" s="7"/>
      <c r="S305" s="7"/>
      <c r="U305" s="7"/>
      <c r="V305" s="7"/>
    </row>
    <row r="306" spans="10:22" ht="12.75">
      <c r="J306" s="7"/>
      <c r="K306" s="7"/>
      <c r="L306" s="7"/>
      <c r="M306" s="7"/>
      <c r="O306" s="7"/>
      <c r="P306" s="7"/>
      <c r="Q306" s="7"/>
      <c r="S306" s="7"/>
      <c r="U306" s="7"/>
      <c r="V306" s="7"/>
    </row>
    <row r="307" spans="10:22" ht="12.75">
      <c r="J307" s="7"/>
      <c r="K307" s="7"/>
      <c r="L307" s="7"/>
      <c r="M307" s="7"/>
      <c r="O307" s="7"/>
      <c r="P307" s="7"/>
      <c r="Q307" s="7"/>
      <c r="S307" s="7"/>
      <c r="U307" s="7"/>
      <c r="V307" s="7"/>
    </row>
    <row r="308" spans="10:22" ht="12.75">
      <c r="J308" s="7"/>
      <c r="K308" s="7"/>
      <c r="L308" s="7"/>
      <c r="M308" s="7"/>
      <c r="O308" s="7"/>
      <c r="P308" s="7"/>
      <c r="Q308" s="7"/>
      <c r="S308" s="7"/>
      <c r="U308" s="7"/>
      <c r="V308" s="7"/>
    </row>
    <row r="309" spans="10:22" ht="12.75">
      <c r="J309" s="7"/>
      <c r="K309" s="7"/>
      <c r="L309" s="7"/>
      <c r="M309" s="7"/>
      <c r="O309" s="7"/>
      <c r="P309" s="7"/>
      <c r="Q309" s="7"/>
      <c r="S309" s="7"/>
      <c r="U309" s="7"/>
      <c r="V309" s="7"/>
    </row>
    <row r="310" spans="10:22" ht="12.75">
      <c r="J310" s="7"/>
      <c r="K310" s="7"/>
      <c r="L310" s="7"/>
      <c r="M310" s="7"/>
      <c r="O310" s="7"/>
      <c r="P310" s="7"/>
      <c r="Q310" s="7"/>
      <c r="S310" s="7"/>
      <c r="U310" s="7"/>
      <c r="V310" s="7"/>
    </row>
    <row r="311" spans="10:22" ht="12.75">
      <c r="J311" s="7"/>
      <c r="K311" s="7"/>
      <c r="L311" s="7"/>
      <c r="M311" s="7"/>
      <c r="O311" s="7"/>
      <c r="P311" s="7"/>
      <c r="Q311" s="7"/>
      <c r="S311" s="7"/>
      <c r="U311" s="7"/>
      <c r="V311" s="7"/>
    </row>
    <row r="312" spans="10:22" ht="12.75">
      <c r="J312" s="7"/>
      <c r="K312" s="7"/>
      <c r="L312" s="7"/>
      <c r="M312" s="7"/>
      <c r="O312" s="7"/>
      <c r="P312" s="7"/>
      <c r="Q312" s="7"/>
      <c r="S312" s="7"/>
      <c r="U312" s="7"/>
      <c r="V312" s="7"/>
    </row>
    <row r="313" spans="10:22" ht="12.75">
      <c r="J313" s="7"/>
      <c r="K313" s="7"/>
      <c r="L313" s="7"/>
      <c r="M313" s="7"/>
      <c r="O313" s="7"/>
      <c r="P313" s="7"/>
      <c r="Q313" s="7"/>
      <c r="S313" s="7"/>
      <c r="U313" s="7"/>
      <c r="V313" s="7"/>
    </row>
    <row r="314" spans="10:22" ht="12.75">
      <c r="J314" s="7"/>
      <c r="K314" s="7"/>
      <c r="L314" s="7"/>
      <c r="M314" s="7"/>
      <c r="O314" s="7"/>
      <c r="P314" s="7"/>
      <c r="Q314" s="7"/>
      <c r="S314" s="7"/>
      <c r="U314" s="7"/>
      <c r="V314" s="7"/>
    </row>
    <row r="315" spans="10:22" ht="12.75">
      <c r="J315" s="7"/>
      <c r="K315" s="7"/>
      <c r="L315" s="7"/>
      <c r="M315" s="7"/>
      <c r="O315" s="7"/>
      <c r="P315" s="7"/>
      <c r="Q315" s="7"/>
      <c r="S315" s="7"/>
      <c r="U315" s="7"/>
      <c r="V315" s="7"/>
    </row>
    <row r="316" spans="10:22" ht="12.75">
      <c r="J316" s="7"/>
      <c r="K316" s="7"/>
      <c r="L316" s="7"/>
      <c r="M316" s="7"/>
      <c r="O316" s="7"/>
      <c r="P316" s="7"/>
      <c r="Q316" s="7"/>
      <c r="S316" s="7"/>
      <c r="U316" s="7"/>
      <c r="V316" s="7"/>
    </row>
    <row r="317" spans="10:22" ht="12.75">
      <c r="J317" s="7"/>
      <c r="K317" s="7"/>
      <c r="L317" s="7"/>
      <c r="M317" s="7"/>
      <c r="O317" s="7"/>
      <c r="P317" s="7"/>
      <c r="Q317" s="7"/>
      <c r="S317" s="7"/>
      <c r="U317" s="7"/>
      <c r="V317" s="7"/>
    </row>
    <row r="318" spans="10:22" ht="12.75">
      <c r="J318" s="7"/>
      <c r="K318" s="7"/>
      <c r="L318" s="7"/>
      <c r="M318" s="7"/>
      <c r="O318" s="7"/>
      <c r="P318" s="7"/>
      <c r="Q318" s="7"/>
      <c r="S318" s="7"/>
      <c r="U318" s="7"/>
      <c r="V318" s="7"/>
    </row>
    <row r="319" spans="10:22" ht="12.75">
      <c r="J319" s="7"/>
      <c r="K319" s="7"/>
      <c r="L319" s="7"/>
      <c r="M319" s="7"/>
      <c r="O319" s="7"/>
      <c r="P319" s="7"/>
      <c r="Q319" s="7"/>
      <c r="S319" s="7"/>
      <c r="U319" s="7"/>
      <c r="V319" s="7"/>
    </row>
    <row r="320" spans="10:22" ht="12.75">
      <c r="J320" s="7"/>
      <c r="K320" s="7"/>
      <c r="L320" s="7"/>
      <c r="M320" s="7"/>
      <c r="O320" s="7"/>
      <c r="P320" s="7"/>
      <c r="Q320" s="7"/>
      <c r="S320" s="7"/>
      <c r="U320" s="7"/>
      <c r="V320" s="7"/>
    </row>
    <row r="321" spans="10:22" ht="12.75">
      <c r="J321" s="7"/>
      <c r="K321" s="7"/>
      <c r="L321" s="7"/>
      <c r="M321" s="7"/>
      <c r="O321" s="7"/>
      <c r="P321" s="7"/>
      <c r="Q321" s="7"/>
      <c r="S321" s="7"/>
      <c r="U321" s="7"/>
      <c r="V321" s="7"/>
    </row>
    <row r="322" spans="10:22" ht="12.75">
      <c r="J322" s="7"/>
      <c r="K322" s="7"/>
      <c r="L322" s="7"/>
      <c r="M322" s="7"/>
      <c r="O322" s="7"/>
      <c r="P322" s="7"/>
      <c r="Q322" s="7"/>
      <c r="S322" s="7"/>
      <c r="U322" s="7"/>
      <c r="V322" s="7"/>
    </row>
    <row r="323" spans="10:22" ht="12.75">
      <c r="J323" s="7"/>
      <c r="K323" s="7"/>
      <c r="L323" s="7"/>
      <c r="M323" s="7"/>
      <c r="O323" s="7"/>
      <c r="P323" s="7"/>
      <c r="Q323" s="7"/>
      <c r="S323" s="7"/>
      <c r="U323" s="7"/>
      <c r="V323" s="7"/>
    </row>
    <row r="324" spans="10:22" ht="12.75">
      <c r="J324" s="7"/>
      <c r="K324" s="7"/>
      <c r="L324" s="7"/>
      <c r="M324" s="7"/>
      <c r="O324" s="7"/>
      <c r="P324" s="7"/>
      <c r="Q324" s="7"/>
      <c r="S324" s="7"/>
      <c r="U324" s="7"/>
      <c r="V324" s="7"/>
    </row>
    <row r="325" spans="10:22" ht="12.75">
      <c r="J325" s="7"/>
      <c r="K325" s="7"/>
      <c r="L325" s="7"/>
      <c r="M325" s="7"/>
      <c r="O325" s="7"/>
      <c r="P325" s="7"/>
      <c r="Q325" s="7"/>
      <c r="S325" s="7"/>
      <c r="U325" s="7"/>
      <c r="V325" s="7"/>
    </row>
    <row r="326" spans="10:22" ht="12.75">
      <c r="J326" s="7"/>
      <c r="K326" s="7"/>
      <c r="L326" s="7"/>
      <c r="M326" s="7"/>
      <c r="O326" s="7"/>
      <c r="P326" s="7"/>
      <c r="Q326" s="7"/>
      <c r="S326" s="7"/>
      <c r="U326" s="7"/>
      <c r="V326" s="7"/>
    </row>
    <row r="327" spans="10:22" ht="12.75">
      <c r="J327" s="7"/>
      <c r="K327" s="7"/>
      <c r="L327" s="7"/>
      <c r="M327" s="7"/>
      <c r="O327" s="7"/>
      <c r="P327" s="7"/>
      <c r="Q327" s="7"/>
      <c r="S327" s="7"/>
      <c r="U327" s="7"/>
      <c r="V327" s="7"/>
    </row>
    <row r="328" spans="10:22" ht="12.75">
      <c r="J328" s="7"/>
      <c r="K328" s="7"/>
      <c r="L328" s="7"/>
      <c r="M328" s="7"/>
      <c r="O328" s="7"/>
      <c r="P328" s="7"/>
      <c r="Q328" s="7"/>
      <c r="S328" s="7"/>
      <c r="U328" s="7"/>
      <c r="V328" s="7"/>
    </row>
    <row r="329" spans="10:22" ht="12.75">
      <c r="J329" s="7"/>
      <c r="K329" s="7"/>
      <c r="L329" s="7"/>
      <c r="M329" s="7"/>
      <c r="O329" s="7"/>
      <c r="P329" s="7"/>
      <c r="Q329" s="7"/>
      <c r="S329" s="7"/>
      <c r="U329" s="7"/>
      <c r="V329" s="7"/>
    </row>
    <row r="330" spans="10:22" ht="12.75">
      <c r="J330" s="7"/>
      <c r="K330" s="7"/>
      <c r="L330" s="7"/>
      <c r="M330" s="7"/>
      <c r="O330" s="7"/>
      <c r="P330" s="7"/>
      <c r="Q330" s="7"/>
      <c r="S330" s="7"/>
      <c r="U330" s="7"/>
      <c r="V330" s="7"/>
    </row>
    <row r="331" spans="10:22" ht="12.75">
      <c r="J331" s="7"/>
      <c r="K331" s="7"/>
      <c r="L331" s="7"/>
      <c r="M331" s="7"/>
      <c r="O331" s="7"/>
      <c r="P331" s="7"/>
      <c r="Q331" s="7"/>
      <c r="S331" s="7"/>
      <c r="U331" s="7"/>
      <c r="V331" s="7"/>
    </row>
    <row r="332" spans="10:22" ht="12.75">
      <c r="J332" s="7"/>
      <c r="K332" s="7"/>
      <c r="L332" s="7"/>
      <c r="M332" s="7"/>
      <c r="O332" s="7"/>
      <c r="P332" s="7"/>
      <c r="Q332" s="7"/>
      <c r="S332" s="7"/>
      <c r="U332" s="7"/>
      <c r="V332" s="7"/>
    </row>
    <row r="333" spans="10:22" ht="12.75">
      <c r="J333" s="7"/>
      <c r="K333" s="7"/>
      <c r="L333" s="7"/>
      <c r="M333" s="7"/>
      <c r="O333" s="7"/>
      <c r="P333" s="7"/>
      <c r="Q333" s="7"/>
      <c r="S333" s="7"/>
      <c r="U333" s="7"/>
      <c r="V333" s="7"/>
    </row>
    <row r="334" spans="10:22" ht="12.75">
      <c r="J334" s="7"/>
      <c r="K334" s="7"/>
      <c r="L334" s="7"/>
      <c r="M334" s="7"/>
      <c r="O334" s="7"/>
      <c r="P334" s="7"/>
      <c r="Q334" s="7"/>
      <c r="S334" s="7"/>
      <c r="U334" s="7"/>
      <c r="V334" s="7"/>
    </row>
    <row r="335" spans="10:22" ht="12.75">
      <c r="J335" s="7"/>
      <c r="K335" s="7"/>
      <c r="L335" s="7"/>
      <c r="M335" s="7"/>
      <c r="O335" s="7"/>
      <c r="P335" s="7"/>
      <c r="Q335" s="7"/>
      <c r="S335" s="7"/>
      <c r="U335" s="7"/>
      <c r="V335" s="7"/>
    </row>
    <row r="336" spans="10:22" ht="12.75">
      <c r="J336" s="7"/>
      <c r="K336" s="7"/>
      <c r="L336" s="7"/>
      <c r="M336" s="7"/>
      <c r="O336" s="7"/>
      <c r="P336" s="7"/>
      <c r="Q336" s="7"/>
      <c r="S336" s="7"/>
      <c r="U336" s="7"/>
      <c r="V336" s="7"/>
    </row>
    <row r="337" spans="10:22" ht="12.75">
      <c r="J337" s="7"/>
      <c r="K337" s="7"/>
      <c r="L337" s="7"/>
      <c r="M337" s="7"/>
      <c r="O337" s="7"/>
      <c r="P337" s="7"/>
      <c r="Q337" s="7"/>
      <c r="S337" s="7"/>
      <c r="U337" s="7"/>
      <c r="V337" s="7"/>
    </row>
    <row r="338" spans="10:22" ht="12.75">
      <c r="J338" s="7"/>
      <c r="K338" s="7"/>
      <c r="L338" s="7"/>
      <c r="M338" s="7"/>
      <c r="O338" s="7"/>
      <c r="P338" s="7"/>
      <c r="Q338" s="7"/>
      <c r="S338" s="7"/>
      <c r="U338" s="7"/>
      <c r="V338" s="7"/>
    </row>
    <row r="339" spans="10:22" ht="12.75">
      <c r="J339" s="7"/>
      <c r="K339" s="7"/>
      <c r="L339" s="7"/>
      <c r="M339" s="7"/>
      <c r="O339" s="7"/>
      <c r="P339" s="7"/>
      <c r="Q339" s="7"/>
      <c r="S339" s="7"/>
      <c r="U339" s="7"/>
      <c r="V339" s="7"/>
    </row>
    <row r="340" spans="10:22" ht="12.75">
      <c r="J340" s="7"/>
      <c r="K340" s="7"/>
      <c r="L340" s="7"/>
      <c r="M340" s="7"/>
      <c r="O340" s="7"/>
      <c r="P340" s="7"/>
      <c r="Q340" s="7"/>
      <c r="S340" s="7"/>
      <c r="U340" s="7"/>
      <c r="V340" s="7"/>
    </row>
    <row r="341" spans="10:22" ht="12.75">
      <c r="J341" s="7"/>
      <c r="K341" s="7"/>
      <c r="L341" s="7"/>
      <c r="M341" s="7"/>
      <c r="O341" s="7"/>
      <c r="P341" s="7"/>
      <c r="Q341" s="7"/>
      <c r="S341" s="7"/>
      <c r="U341" s="7"/>
      <c r="V341" s="7"/>
    </row>
    <row r="342" spans="10:22" ht="12.75">
      <c r="J342" s="7"/>
      <c r="K342" s="7"/>
      <c r="L342" s="7"/>
      <c r="M342" s="7"/>
      <c r="O342" s="7"/>
      <c r="P342" s="7"/>
      <c r="Q342" s="7"/>
      <c r="S342" s="7"/>
      <c r="U342" s="7"/>
      <c r="V342" s="7"/>
    </row>
    <row r="343" spans="10:22" ht="12.75">
      <c r="J343" s="7"/>
      <c r="K343" s="7"/>
      <c r="L343" s="7"/>
      <c r="M343" s="7"/>
      <c r="O343" s="7"/>
      <c r="P343" s="7"/>
      <c r="Q343" s="7"/>
      <c r="S343" s="7"/>
      <c r="U343" s="7"/>
      <c r="V343" s="7"/>
    </row>
    <row r="344" spans="10:22" ht="12.75">
      <c r="J344" s="7"/>
      <c r="K344" s="7"/>
      <c r="L344" s="7"/>
      <c r="M344" s="7"/>
      <c r="O344" s="7"/>
      <c r="P344" s="7"/>
      <c r="Q344" s="7"/>
      <c r="S344" s="7"/>
      <c r="U344" s="7"/>
      <c r="V344" s="7"/>
    </row>
    <row r="345" spans="10:22" ht="12.75">
      <c r="J345" s="7"/>
      <c r="K345" s="7"/>
      <c r="L345" s="7"/>
      <c r="M345" s="7"/>
      <c r="O345" s="7"/>
      <c r="P345" s="7"/>
      <c r="Q345" s="7"/>
      <c r="S345" s="7"/>
      <c r="U345" s="7"/>
      <c r="V345" s="7"/>
    </row>
    <row r="346" spans="10:22" ht="12.75">
      <c r="J346" s="7"/>
      <c r="K346" s="7"/>
      <c r="L346" s="7"/>
      <c r="M346" s="7"/>
      <c r="O346" s="7"/>
      <c r="P346" s="7"/>
      <c r="Q346" s="7"/>
      <c r="S346" s="7"/>
      <c r="U346" s="7"/>
      <c r="V346" s="7"/>
    </row>
    <row r="347" spans="10:22" ht="12.75">
      <c r="J347" s="7"/>
      <c r="K347" s="7"/>
      <c r="L347" s="7"/>
      <c r="M347" s="7"/>
      <c r="O347" s="7"/>
      <c r="P347" s="7"/>
      <c r="Q347" s="7"/>
      <c r="S347" s="7"/>
      <c r="U347" s="7"/>
      <c r="V347" s="7"/>
    </row>
    <row r="348" spans="10:22" ht="12.75">
      <c r="J348" s="7"/>
      <c r="K348" s="7"/>
      <c r="L348" s="7"/>
      <c r="M348" s="7"/>
      <c r="O348" s="7"/>
      <c r="P348" s="7"/>
      <c r="Q348" s="7"/>
      <c r="S348" s="7"/>
      <c r="U348" s="7"/>
      <c r="V348" s="7"/>
    </row>
    <row r="349" spans="10:22" ht="12.75">
      <c r="J349" s="7"/>
      <c r="K349" s="7"/>
      <c r="L349" s="7"/>
      <c r="M349" s="7"/>
      <c r="O349" s="7"/>
      <c r="P349" s="7"/>
      <c r="Q349" s="7"/>
      <c r="S349" s="7"/>
      <c r="U349" s="7"/>
      <c r="V349" s="7"/>
    </row>
    <row r="350" spans="10:22" ht="12.75">
      <c r="J350" s="7"/>
      <c r="K350" s="7"/>
      <c r="L350" s="7"/>
      <c r="M350" s="7"/>
      <c r="O350" s="7"/>
      <c r="P350" s="7"/>
      <c r="Q350" s="7"/>
      <c r="S350" s="7"/>
      <c r="U350" s="7"/>
      <c r="V350" s="7"/>
    </row>
    <row r="351" spans="10:22" ht="12.75">
      <c r="J351" s="7"/>
      <c r="K351" s="7"/>
      <c r="L351" s="7"/>
      <c r="M351" s="7"/>
      <c r="O351" s="7"/>
      <c r="P351" s="7"/>
      <c r="Q351" s="7"/>
      <c r="S351" s="7"/>
      <c r="U351" s="7"/>
      <c r="V351" s="7"/>
    </row>
    <row r="352" spans="10:22" ht="12.75">
      <c r="J352" s="7"/>
      <c r="K352" s="7"/>
      <c r="L352" s="7"/>
      <c r="M352" s="7"/>
      <c r="O352" s="7"/>
      <c r="P352" s="7"/>
      <c r="Q352" s="7"/>
      <c r="S352" s="7"/>
      <c r="U352" s="7"/>
      <c r="V352" s="7"/>
    </row>
    <row r="353" spans="10:22" ht="12.75">
      <c r="J353" s="7"/>
      <c r="K353" s="7"/>
      <c r="L353" s="7"/>
      <c r="M353" s="7"/>
      <c r="O353" s="7"/>
      <c r="P353" s="7"/>
      <c r="Q353" s="7"/>
      <c r="S353" s="7"/>
      <c r="U353" s="7"/>
      <c r="V353" s="7"/>
    </row>
    <row r="354" spans="10:22" ht="12.75">
      <c r="J354" s="7"/>
      <c r="K354" s="7"/>
      <c r="L354" s="7"/>
      <c r="M354" s="7"/>
      <c r="O354" s="7"/>
      <c r="P354" s="7"/>
      <c r="Q354" s="7"/>
      <c r="S354" s="7"/>
      <c r="U354" s="7"/>
      <c r="V354" s="7"/>
    </row>
    <row r="355" spans="10:22" ht="12.75">
      <c r="J355" s="7"/>
      <c r="K355" s="7"/>
      <c r="L355" s="7"/>
      <c r="M355" s="7"/>
      <c r="O355" s="7"/>
      <c r="P355" s="7"/>
      <c r="Q355" s="7"/>
      <c r="S355" s="7"/>
      <c r="U355" s="7"/>
      <c r="V355" s="7"/>
    </row>
    <row r="356" spans="10:22" ht="12.75">
      <c r="J356" s="7"/>
      <c r="K356" s="7"/>
      <c r="L356" s="7"/>
      <c r="M356" s="7"/>
      <c r="O356" s="7"/>
      <c r="P356" s="7"/>
      <c r="Q356" s="7"/>
      <c r="S356" s="7"/>
      <c r="U356" s="7"/>
      <c r="V356" s="7"/>
    </row>
    <row r="357" spans="10:22" ht="12.75">
      <c r="J357" s="7"/>
      <c r="K357" s="7"/>
      <c r="L357" s="7"/>
      <c r="M357" s="7"/>
      <c r="O357" s="7"/>
      <c r="P357" s="7"/>
      <c r="Q357" s="7"/>
      <c r="S357" s="7"/>
      <c r="U357" s="7"/>
      <c r="V357" s="7"/>
    </row>
    <row r="358" spans="10:22" ht="12.75">
      <c r="J358" s="7"/>
      <c r="K358" s="7"/>
      <c r="L358" s="7"/>
      <c r="M358" s="7"/>
      <c r="O358" s="7"/>
      <c r="P358" s="7"/>
      <c r="Q358" s="7"/>
      <c r="S358" s="7"/>
      <c r="U358" s="7"/>
      <c r="V358" s="7"/>
    </row>
    <row r="359" spans="10:22" ht="12.75">
      <c r="J359" s="7"/>
      <c r="K359" s="7"/>
      <c r="L359" s="7"/>
      <c r="M359" s="7"/>
      <c r="O359" s="7"/>
      <c r="P359" s="7"/>
      <c r="Q359" s="7"/>
      <c r="S359" s="7"/>
      <c r="U359" s="7"/>
      <c r="V359" s="7"/>
    </row>
    <row r="360" spans="10:22" ht="12.75">
      <c r="J360" s="7"/>
      <c r="K360" s="7"/>
      <c r="L360" s="7"/>
      <c r="M360" s="7"/>
      <c r="O360" s="7"/>
      <c r="P360" s="7"/>
      <c r="Q360" s="7"/>
      <c r="S360" s="7"/>
      <c r="U360" s="7"/>
      <c r="V360" s="7"/>
    </row>
    <row r="361" spans="10:22" ht="12.75">
      <c r="J361" s="7"/>
      <c r="K361" s="7"/>
      <c r="L361" s="7"/>
      <c r="M361" s="7"/>
      <c r="O361" s="7"/>
      <c r="P361" s="7"/>
      <c r="Q361" s="7"/>
      <c r="S361" s="7"/>
      <c r="U361" s="7"/>
      <c r="V361" s="7"/>
    </row>
    <row r="362" spans="10:22" ht="12.75">
      <c r="J362" s="7"/>
      <c r="K362" s="7"/>
      <c r="L362" s="7"/>
      <c r="M362" s="7"/>
      <c r="O362" s="7"/>
      <c r="P362" s="7"/>
      <c r="Q362" s="7"/>
      <c r="S362" s="7"/>
      <c r="U362" s="7"/>
      <c r="V362" s="7"/>
    </row>
    <row r="363" spans="10:22" ht="12.75">
      <c r="J363" s="7"/>
      <c r="K363" s="7"/>
      <c r="L363" s="7"/>
      <c r="M363" s="7"/>
      <c r="O363" s="7"/>
      <c r="P363" s="7"/>
      <c r="Q363" s="7"/>
      <c r="S363" s="7"/>
      <c r="U363" s="7"/>
      <c r="V363" s="7"/>
    </row>
    <row r="364" spans="10:22" ht="12.75">
      <c r="J364" s="7"/>
      <c r="K364" s="7"/>
      <c r="L364" s="7"/>
      <c r="M364" s="7"/>
      <c r="O364" s="7"/>
      <c r="P364" s="7"/>
      <c r="Q364" s="7"/>
      <c r="S364" s="7"/>
      <c r="U364" s="7"/>
      <c r="V364" s="7"/>
    </row>
    <row r="365" spans="10:22" ht="12.75">
      <c r="J365" s="7"/>
      <c r="K365" s="7"/>
      <c r="L365" s="7"/>
      <c r="M365" s="7"/>
      <c r="O365" s="7"/>
      <c r="P365" s="7"/>
      <c r="Q365" s="7"/>
      <c r="S365" s="7"/>
      <c r="U365" s="7"/>
      <c r="V365" s="7"/>
    </row>
    <row r="366" spans="10:22" ht="12.75">
      <c r="J366" s="7"/>
      <c r="K366" s="7"/>
      <c r="L366" s="7"/>
      <c r="M366" s="7"/>
      <c r="O366" s="7"/>
      <c r="P366" s="7"/>
      <c r="Q366" s="7"/>
      <c r="S366" s="7"/>
      <c r="U366" s="7"/>
      <c r="V366" s="7"/>
    </row>
    <row r="367" spans="10:22" ht="12.75">
      <c r="J367" s="7"/>
      <c r="K367" s="7"/>
      <c r="L367" s="7"/>
      <c r="M367" s="7"/>
      <c r="O367" s="7"/>
      <c r="P367" s="7"/>
      <c r="Q367" s="7"/>
      <c r="S367" s="7"/>
      <c r="U367" s="7"/>
      <c r="V367" s="7"/>
    </row>
    <row r="368" spans="10:22" ht="12.75">
      <c r="J368" s="7"/>
      <c r="K368" s="7"/>
      <c r="L368" s="7"/>
      <c r="M368" s="7"/>
      <c r="O368" s="7"/>
      <c r="P368" s="7"/>
      <c r="Q368" s="7"/>
      <c r="S368" s="7"/>
      <c r="U368" s="7"/>
      <c r="V368" s="7"/>
    </row>
    <row r="369" spans="10:22" ht="12.75">
      <c r="J369" s="7"/>
      <c r="K369" s="7"/>
      <c r="L369" s="7"/>
      <c r="M369" s="7"/>
      <c r="O369" s="7"/>
      <c r="P369" s="7"/>
      <c r="Q369" s="7"/>
      <c r="S369" s="7"/>
      <c r="U369" s="7"/>
      <c r="V369" s="7"/>
    </row>
    <row r="370" spans="10:22" ht="12.75">
      <c r="J370" s="7"/>
      <c r="K370" s="7"/>
      <c r="L370" s="7"/>
      <c r="M370" s="7"/>
      <c r="O370" s="7"/>
      <c r="P370" s="7"/>
      <c r="Q370" s="7"/>
      <c r="S370" s="7"/>
      <c r="U370" s="7"/>
      <c r="V370" s="7"/>
    </row>
    <row r="371" spans="10:22" ht="12.75">
      <c r="J371" s="7"/>
      <c r="K371" s="7"/>
      <c r="L371" s="7"/>
      <c r="M371" s="7"/>
      <c r="O371" s="7"/>
      <c r="P371" s="7"/>
      <c r="Q371" s="7"/>
      <c r="S371" s="7"/>
      <c r="U371" s="7"/>
      <c r="V371" s="7"/>
    </row>
    <row r="372" spans="10:22" ht="12.75">
      <c r="J372" s="7"/>
      <c r="K372" s="7"/>
      <c r="L372" s="7"/>
      <c r="M372" s="7"/>
      <c r="O372" s="7"/>
      <c r="P372" s="7"/>
      <c r="Q372" s="7"/>
      <c r="S372" s="7"/>
      <c r="U372" s="7"/>
      <c r="V372" s="7"/>
    </row>
    <row r="373" spans="10:22" ht="12.75">
      <c r="J373" s="7"/>
      <c r="K373" s="7"/>
      <c r="L373" s="7"/>
      <c r="M373" s="7"/>
      <c r="O373" s="7"/>
      <c r="P373" s="7"/>
      <c r="Q373" s="7"/>
      <c r="S373" s="7"/>
      <c r="U373" s="7"/>
      <c r="V373" s="7"/>
    </row>
    <row r="374" spans="10:22" ht="12.75">
      <c r="J374" s="7"/>
      <c r="K374" s="7"/>
      <c r="L374" s="7"/>
      <c r="M374" s="7"/>
      <c r="O374" s="7"/>
      <c r="P374" s="7"/>
      <c r="Q374" s="7"/>
      <c r="S374" s="7"/>
      <c r="U374" s="7"/>
      <c r="V374" s="7"/>
    </row>
    <row r="375" spans="10:22" ht="12.75">
      <c r="J375" s="7"/>
      <c r="K375" s="7"/>
      <c r="L375" s="7"/>
      <c r="M375" s="7"/>
      <c r="O375" s="7"/>
      <c r="P375" s="7"/>
      <c r="Q375" s="7"/>
      <c r="S375" s="7"/>
      <c r="U375" s="7"/>
      <c r="V375" s="7"/>
    </row>
    <row r="376" spans="10:22" ht="12.75">
      <c r="J376" s="7"/>
      <c r="K376" s="7"/>
      <c r="L376" s="7"/>
      <c r="M376" s="7"/>
      <c r="O376" s="7"/>
      <c r="P376" s="7"/>
      <c r="Q376" s="7"/>
      <c r="S376" s="7"/>
      <c r="U376" s="7"/>
      <c r="V376" s="7"/>
    </row>
    <row r="377" spans="10:22" ht="12.75">
      <c r="J377" s="7"/>
      <c r="K377" s="7"/>
      <c r="L377" s="7"/>
      <c r="M377" s="7"/>
      <c r="O377" s="7"/>
      <c r="P377" s="7"/>
      <c r="Q377" s="7"/>
      <c r="S377" s="7"/>
      <c r="U377" s="7"/>
      <c r="V377" s="7"/>
    </row>
    <row r="378" spans="10:22" ht="12.75">
      <c r="J378" s="7"/>
      <c r="K378" s="7"/>
      <c r="L378" s="7"/>
      <c r="M378" s="7"/>
      <c r="O378" s="7"/>
      <c r="P378" s="7"/>
      <c r="Q378" s="7"/>
      <c r="S378" s="7"/>
      <c r="U378" s="7"/>
      <c r="V378" s="7"/>
    </row>
    <row r="379" spans="10:22" ht="12.75">
      <c r="J379" s="7"/>
      <c r="K379" s="7"/>
      <c r="L379" s="7"/>
      <c r="M379" s="7"/>
      <c r="O379" s="7"/>
      <c r="P379" s="7"/>
      <c r="Q379" s="7"/>
      <c r="S379" s="7"/>
      <c r="U379" s="7"/>
      <c r="V379" s="7"/>
    </row>
    <row r="380" spans="10:22" ht="12.75">
      <c r="J380" s="7"/>
      <c r="K380" s="7"/>
      <c r="L380" s="7"/>
      <c r="M380" s="7"/>
      <c r="O380" s="7"/>
      <c r="P380" s="7"/>
      <c r="Q380" s="7"/>
      <c r="S380" s="7"/>
      <c r="U380" s="7"/>
      <c r="V380" s="7"/>
    </row>
    <row r="381" spans="10:22" ht="12.75">
      <c r="J381" s="7"/>
      <c r="K381" s="7"/>
      <c r="L381" s="7"/>
      <c r="M381" s="7"/>
      <c r="O381" s="7"/>
      <c r="P381" s="7"/>
      <c r="Q381" s="7"/>
      <c r="S381" s="7"/>
      <c r="U381" s="7"/>
      <c r="V381" s="7"/>
    </row>
    <row r="382" spans="10:22" ht="12.75">
      <c r="J382" s="7"/>
      <c r="K382" s="7"/>
      <c r="L382" s="7"/>
      <c r="M382" s="7"/>
      <c r="O382" s="7"/>
      <c r="P382" s="7"/>
      <c r="Q382" s="7"/>
      <c r="S382" s="7"/>
      <c r="U382" s="7"/>
      <c r="V382" s="7"/>
    </row>
    <row r="383" spans="10:22" ht="12.75">
      <c r="J383" s="7"/>
      <c r="K383" s="7"/>
      <c r="L383" s="7"/>
      <c r="M383" s="7"/>
      <c r="O383" s="7"/>
      <c r="P383" s="7"/>
      <c r="Q383" s="7"/>
      <c r="S383" s="7"/>
      <c r="U383" s="7"/>
      <c r="V383" s="7"/>
    </row>
    <row r="384" spans="10:22" ht="12.75">
      <c r="J384" s="7"/>
      <c r="K384" s="7"/>
      <c r="L384" s="7"/>
      <c r="M384" s="7"/>
      <c r="O384" s="7"/>
      <c r="P384" s="7"/>
      <c r="Q384" s="7"/>
      <c r="S384" s="7"/>
      <c r="U384" s="7"/>
      <c r="V384" s="7"/>
    </row>
    <row r="385" spans="10:22" ht="12.75">
      <c r="J385" s="7"/>
      <c r="K385" s="7"/>
      <c r="L385" s="7"/>
      <c r="M385" s="7"/>
      <c r="O385" s="7"/>
      <c r="P385" s="7"/>
      <c r="Q385" s="7"/>
      <c r="S385" s="7"/>
      <c r="U385" s="7"/>
      <c r="V385" s="7"/>
    </row>
    <row r="386" spans="10:22" ht="12.75">
      <c r="J386" s="7"/>
      <c r="K386" s="7"/>
      <c r="L386" s="7"/>
      <c r="M386" s="7"/>
      <c r="O386" s="7"/>
      <c r="P386" s="7"/>
      <c r="Q386" s="7"/>
      <c r="S386" s="7"/>
      <c r="U386" s="7"/>
      <c r="V386" s="7"/>
    </row>
    <row r="387" spans="10:22" ht="12.75">
      <c r="J387" s="7"/>
      <c r="K387" s="7"/>
      <c r="L387" s="7"/>
      <c r="M387" s="7"/>
      <c r="O387" s="7"/>
      <c r="P387" s="7"/>
      <c r="Q387" s="7"/>
      <c r="S387" s="7"/>
      <c r="U387" s="7"/>
      <c r="V387" s="7"/>
    </row>
    <row r="388" spans="10:22" ht="12.75">
      <c r="J388" s="7"/>
      <c r="K388" s="7"/>
      <c r="L388" s="7"/>
      <c r="M388" s="7"/>
      <c r="O388" s="7"/>
      <c r="P388" s="7"/>
      <c r="Q388" s="7"/>
      <c r="S388" s="7"/>
      <c r="U388" s="7"/>
      <c r="V388" s="7"/>
    </row>
    <row r="389" spans="10:22" ht="12.75">
      <c r="J389" s="7"/>
      <c r="K389" s="7"/>
      <c r="L389" s="7"/>
      <c r="M389" s="7"/>
      <c r="O389" s="7"/>
      <c r="P389" s="7"/>
      <c r="Q389" s="7"/>
      <c r="S389" s="7"/>
      <c r="U389" s="7"/>
      <c r="V389" s="7"/>
    </row>
    <row r="390" spans="10:22" ht="12.75">
      <c r="J390" s="7"/>
      <c r="K390" s="7"/>
      <c r="L390" s="7"/>
      <c r="M390" s="7"/>
      <c r="O390" s="7"/>
      <c r="P390" s="7"/>
      <c r="Q390" s="7"/>
      <c r="S390" s="7"/>
      <c r="U390" s="7"/>
      <c r="V390" s="7"/>
    </row>
    <row r="391" spans="10:22" ht="12.75">
      <c r="J391" s="7"/>
      <c r="K391" s="7"/>
      <c r="L391" s="7"/>
      <c r="M391" s="7"/>
      <c r="O391" s="7"/>
      <c r="P391" s="7"/>
      <c r="Q391" s="7"/>
      <c r="S391" s="7"/>
      <c r="U391" s="7"/>
      <c r="V391" s="7"/>
    </row>
    <row r="392" spans="10:22" ht="12.75">
      <c r="J392" s="7"/>
      <c r="K392" s="7"/>
      <c r="L392" s="7"/>
      <c r="M392" s="7"/>
      <c r="O392" s="7"/>
      <c r="P392" s="7"/>
      <c r="Q392" s="7"/>
      <c r="S392" s="7"/>
      <c r="U392" s="7"/>
      <c r="V392" s="7"/>
    </row>
    <row r="393" spans="10:22" ht="12.75">
      <c r="J393" s="7"/>
      <c r="K393" s="7"/>
      <c r="L393" s="7"/>
      <c r="M393" s="7"/>
      <c r="O393" s="7"/>
      <c r="P393" s="7"/>
      <c r="Q393" s="7"/>
      <c r="S393" s="7"/>
      <c r="U393" s="7"/>
      <c r="V393" s="7"/>
    </row>
    <row r="394" spans="10:22" ht="12.75">
      <c r="J394" s="7"/>
      <c r="K394" s="7"/>
      <c r="L394" s="7"/>
      <c r="M394" s="7"/>
      <c r="O394" s="7"/>
      <c r="P394" s="7"/>
      <c r="Q394" s="7"/>
      <c r="S394" s="7"/>
      <c r="U394" s="7"/>
      <c r="V394" s="7"/>
    </row>
    <row r="395" spans="10:22" ht="12.75">
      <c r="J395" s="7"/>
      <c r="K395" s="7"/>
      <c r="L395" s="7"/>
      <c r="M395" s="7"/>
      <c r="O395" s="7"/>
      <c r="P395" s="7"/>
      <c r="Q395" s="7"/>
      <c r="S395" s="7"/>
      <c r="U395" s="7"/>
      <c r="V395" s="7"/>
    </row>
    <row r="396" spans="10:22" ht="12.75">
      <c r="J396" s="7"/>
      <c r="K396" s="7"/>
      <c r="L396" s="7"/>
      <c r="M396" s="7"/>
      <c r="O396" s="7"/>
      <c r="P396" s="7"/>
      <c r="Q396" s="7"/>
      <c r="S396" s="7"/>
      <c r="U396" s="7"/>
      <c r="V396" s="7"/>
    </row>
    <row r="397" spans="10:22" ht="12.75">
      <c r="J397" s="7"/>
      <c r="K397" s="7"/>
      <c r="L397" s="7"/>
      <c r="M397" s="7"/>
      <c r="O397" s="7"/>
      <c r="P397" s="7"/>
      <c r="Q397" s="7"/>
      <c r="S397" s="7"/>
      <c r="U397" s="7"/>
      <c r="V397" s="7"/>
    </row>
    <row r="398" spans="10:22" ht="12.75">
      <c r="J398" s="7"/>
      <c r="K398" s="7"/>
      <c r="L398" s="7"/>
      <c r="M398" s="7"/>
      <c r="O398" s="7"/>
      <c r="P398" s="7"/>
      <c r="Q398" s="7"/>
      <c r="S398" s="7"/>
      <c r="U398" s="7"/>
      <c r="V398" s="7"/>
    </row>
    <row r="399" spans="10:22" ht="12.75">
      <c r="J399" s="7"/>
      <c r="K399" s="7"/>
      <c r="L399" s="7"/>
      <c r="M399" s="7"/>
      <c r="O399" s="7"/>
      <c r="P399" s="7"/>
      <c r="Q399" s="7"/>
      <c r="S399" s="7"/>
      <c r="U399" s="7"/>
      <c r="V399" s="7"/>
    </row>
    <row r="400" spans="10:22" ht="12.75">
      <c r="J400" s="7"/>
      <c r="K400" s="7"/>
      <c r="L400" s="7"/>
      <c r="M400" s="7"/>
      <c r="O400" s="7"/>
      <c r="P400" s="7"/>
      <c r="Q400" s="7"/>
      <c r="S400" s="7"/>
      <c r="U400" s="7"/>
      <c r="V400" s="7"/>
    </row>
    <row r="401" spans="10:22" ht="12.75">
      <c r="J401" s="7"/>
      <c r="K401" s="7"/>
      <c r="L401" s="7"/>
      <c r="M401" s="7"/>
      <c r="O401" s="7"/>
      <c r="P401" s="7"/>
      <c r="Q401" s="7"/>
      <c r="S401" s="7"/>
      <c r="U401" s="7"/>
      <c r="V401" s="7"/>
    </row>
    <row r="402" spans="10:22" ht="12.75">
      <c r="J402" s="7"/>
      <c r="K402" s="7"/>
      <c r="L402" s="7"/>
      <c r="M402" s="7"/>
      <c r="O402" s="7"/>
      <c r="P402" s="7"/>
      <c r="Q402" s="7"/>
      <c r="S402" s="7"/>
      <c r="U402" s="7"/>
      <c r="V402" s="7"/>
    </row>
    <row r="403" spans="10:22" ht="12.75">
      <c r="J403" s="7"/>
      <c r="K403" s="7"/>
      <c r="L403" s="7"/>
      <c r="M403" s="7"/>
      <c r="O403" s="7"/>
      <c r="P403" s="7"/>
      <c r="Q403" s="7"/>
      <c r="S403" s="7"/>
      <c r="U403" s="7"/>
      <c r="V403" s="7"/>
    </row>
    <row r="404" spans="10:22" ht="12.75">
      <c r="J404" s="7"/>
      <c r="K404" s="7"/>
      <c r="L404" s="7"/>
      <c r="M404" s="7"/>
      <c r="O404" s="7"/>
      <c r="P404" s="7"/>
      <c r="Q404" s="7"/>
      <c r="S404" s="7"/>
      <c r="U404" s="7"/>
      <c r="V404" s="7"/>
    </row>
    <row r="405" spans="10:22" ht="12.75">
      <c r="J405" s="7"/>
      <c r="K405" s="7"/>
      <c r="L405" s="7"/>
      <c r="M405" s="7"/>
      <c r="O405" s="7"/>
      <c r="P405" s="7"/>
      <c r="Q405" s="7"/>
      <c r="S405" s="7"/>
      <c r="U405" s="7"/>
      <c r="V405" s="7"/>
    </row>
    <row r="406" spans="10:22" ht="12.75">
      <c r="J406" s="7"/>
      <c r="K406" s="7"/>
      <c r="L406" s="7"/>
      <c r="M406" s="7"/>
      <c r="O406" s="7"/>
      <c r="P406" s="7"/>
      <c r="Q406" s="7"/>
      <c r="S406" s="7"/>
      <c r="U406" s="7"/>
      <c r="V406" s="7"/>
    </row>
    <row r="407" spans="10:22" ht="12.75">
      <c r="J407" s="7"/>
      <c r="K407" s="7"/>
      <c r="L407" s="7"/>
      <c r="M407" s="7"/>
      <c r="O407" s="7"/>
      <c r="P407" s="7"/>
      <c r="Q407" s="7"/>
      <c r="S407" s="7"/>
      <c r="U407" s="7"/>
      <c r="V407" s="7"/>
    </row>
    <row r="408" spans="10:22" ht="12.75">
      <c r="J408" s="7"/>
      <c r="K408" s="7"/>
      <c r="L408" s="7"/>
      <c r="M408" s="7"/>
      <c r="O408" s="7"/>
      <c r="P408" s="7"/>
      <c r="Q408" s="7"/>
      <c r="S408" s="7"/>
      <c r="U408" s="7"/>
      <c r="V408" s="7"/>
    </row>
    <row r="409" spans="10:22" ht="12.75">
      <c r="J409" s="7"/>
      <c r="K409" s="7"/>
      <c r="L409" s="7"/>
      <c r="M409" s="7"/>
      <c r="O409" s="7"/>
      <c r="P409" s="7"/>
      <c r="Q409" s="7"/>
      <c r="S409" s="7"/>
      <c r="U409" s="7"/>
      <c r="V409" s="7"/>
    </row>
    <row r="410" spans="10:22" ht="12.75">
      <c r="J410" s="7"/>
      <c r="K410" s="7"/>
      <c r="L410" s="7"/>
      <c r="M410" s="7"/>
      <c r="O410" s="7"/>
      <c r="P410" s="7"/>
      <c r="Q410" s="7"/>
      <c r="S410" s="7"/>
      <c r="U410" s="7"/>
      <c r="V410" s="7"/>
    </row>
    <row r="411" spans="10:22" ht="12.75">
      <c r="J411" s="7"/>
      <c r="K411" s="7"/>
      <c r="L411" s="7"/>
      <c r="M411" s="7"/>
      <c r="O411" s="7"/>
      <c r="P411" s="7"/>
      <c r="Q411" s="7"/>
      <c r="S411" s="7"/>
      <c r="U411" s="7"/>
      <c r="V411" s="7"/>
    </row>
    <row r="412" spans="10:22" ht="12.75">
      <c r="J412" s="7"/>
      <c r="K412" s="7"/>
      <c r="L412" s="7"/>
      <c r="M412" s="7"/>
      <c r="O412" s="7"/>
      <c r="P412" s="7"/>
      <c r="Q412" s="7"/>
      <c r="S412" s="7"/>
      <c r="U412" s="7"/>
      <c r="V412" s="7"/>
    </row>
    <row r="413" spans="10:22" ht="12.75">
      <c r="J413" s="7"/>
      <c r="K413" s="7"/>
      <c r="L413" s="7"/>
      <c r="M413" s="7"/>
      <c r="O413" s="7"/>
      <c r="P413" s="7"/>
      <c r="Q413" s="7"/>
      <c r="S413" s="7"/>
      <c r="U413" s="7"/>
      <c r="V413" s="7"/>
    </row>
    <row r="414" spans="10:22" ht="12.75">
      <c r="J414" s="7"/>
      <c r="K414" s="7"/>
      <c r="L414" s="7"/>
      <c r="M414" s="7"/>
      <c r="O414" s="7"/>
      <c r="P414" s="7"/>
      <c r="Q414" s="7"/>
      <c r="S414" s="7"/>
      <c r="U414" s="7"/>
      <c r="V414" s="7"/>
    </row>
    <row r="415" spans="10:22" ht="12.75">
      <c r="J415" s="7"/>
      <c r="K415" s="7"/>
      <c r="L415" s="7"/>
      <c r="M415" s="7"/>
      <c r="O415" s="7"/>
      <c r="P415" s="7"/>
      <c r="Q415" s="7"/>
      <c r="S415" s="7"/>
      <c r="U415" s="7"/>
      <c r="V415" s="7"/>
    </row>
    <row r="416" spans="10:22" ht="12.75">
      <c r="J416" s="7"/>
      <c r="K416" s="7"/>
      <c r="L416" s="7"/>
      <c r="M416" s="7"/>
      <c r="O416" s="7"/>
      <c r="P416" s="7"/>
      <c r="Q416" s="7"/>
      <c r="S416" s="7"/>
      <c r="U416" s="7"/>
      <c r="V416" s="7"/>
    </row>
    <row r="417" spans="10:22" ht="12.75">
      <c r="J417" s="7"/>
      <c r="K417" s="7"/>
      <c r="L417" s="7"/>
      <c r="M417" s="7"/>
      <c r="O417" s="7"/>
      <c r="P417" s="7"/>
      <c r="Q417" s="7"/>
      <c r="S417" s="7"/>
      <c r="U417" s="7"/>
      <c r="V417" s="7"/>
    </row>
    <row r="418" spans="10:22" ht="12.75">
      <c r="J418" s="7"/>
      <c r="K418" s="7"/>
      <c r="L418" s="7"/>
      <c r="M418" s="7"/>
      <c r="O418" s="7"/>
      <c r="P418" s="7"/>
      <c r="Q418" s="7"/>
      <c r="S418" s="7"/>
      <c r="U418" s="7"/>
      <c r="V418" s="7"/>
    </row>
    <row r="419" spans="10:22" ht="12.75">
      <c r="J419" s="7"/>
      <c r="K419" s="7"/>
      <c r="L419" s="7"/>
      <c r="M419" s="7"/>
      <c r="O419" s="7"/>
      <c r="P419" s="7"/>
      <c r="Q419" s="7"/>
      <c r="S419" s="7"/>
      <c r="U419" s="7"/>
      <c r="V419" s="7"/>
    </row>
    <row r="420" spans="10:22" ht="12.75">
      <c r="J420" s="7"/>
      <c r="K420" s="7"/>
      <c r="L420" s="7"/>
      <c r="M420" s="7"/>
      <c r="O420" s="7"/>
      <c r="P420" s="7"/>
      <c r="Q420" s="7"/>
      <c r="S420" s="7"/>
      <c r="U420" s="7"/>
      <c r="V420" s="7"/>
    </row>
    <row r="421" spans="10:22" ht="12.75">
      <c r="J421" s="7"/>
      <c r="K421" s="7"/>
      <c r="L421" s="7"/>
      <c r="M421" s="7"/>
      <c r="O421" s="7"/>
      <c r="P421" s="7"/>
      <c r="Q421" s="7"/>
      <c r="S421" s="7"/>
      <c r="U421" s="7"/>
      <c r="V421" s="7"/>
    </row>
    <row r="422" spans="10:22" ht="12.75">
      <c r="J422" s="7"/>
      <c r="K422" s="7"/>
      <c r="L422" s="7"/>
      <c r="M422" s="7"/>
      <c r="O422" s="7"/>
      <c r="P422" s="7"/>
      <c r="Q422" s="7"/>
      <c r="S422" s="7"/>
      <c r="U422" s="7"/>
      <c r="V422" s="7"/>
    </row>
    <row r="423" spans="10:22" ht="12.75">
      <c r="J423" s="7"/>
      <c r="K423" s="7"/>
      <c r="L423" s="7"/>
      <c r="M423" s="7"/>
      <c r="O423" s="7"/>
      <c r="P423" s="7"/>
      <c r="Q423" s="7"/>
      <c r="S423" s="7"/>
      <c r="U423" s="7"/>
      <c r="V423" s="7"/>
    </row>
    <row r="424" spans="10:22" ht="12.75">
      <c r="J424" s="7"/>
      <c r="K424" s="7"/>
      <c r="L424" s="7"/>
      <c r="M424" s="7"/>
      <c r="O424" s="7"/>
      <c r="P424" s="7"/>
      <c r="Q424" s="7"/>
      <c r="S424" s="7"/>
      <c r="U424" s="7"/>
      <c r="V424" s="7"/>
    </row>
    <row r="425" spans="10:22" ht="12.75">
      <c r="J425" s="7"/>
      <c r="K425" s="7"/>
      <c r="L425" s="7"/>
      <c r="M425" s="7"/>
      <c r="O425" s="7"/>
      <c r="P425" s="7"/>
      <c r="Q425" s="7"/>
      <c r="S425" s="7"/>
      <c r="U425" s="7"/>
      <c r="V425" s="7"/>
    </row>
    <row r="426" spans="10:22" ht="12.75">
      <c r="J426" s="7"/>
      <c r="K426" s="7"/>
      <c r="L426" s="7"/>
      <c r="M426" s="7"/>
      <c r="O426" s="7"/>
      <c r="P426" s="7"/>
      <c r="Q426" s="7"/>
      <c r="S426" s="7"/>
      <c r="U426" s="7"/>
      <c r="V426" s="7"/>
    </row>
    <row r="427" spans="10:22" ht="12.75">
      <c r="J427" s="7"/>
      <c r="K427" s="7"/>
      <c r="L427" s="7"/>
      <c r="M427" s="7"/>
      <c r="O427" s="7"/>
      <c r="P427" s="7"/>
      <c r="Q427" s="7"/>
      <c r="S427" s="7"/>
      <c r="U427" s="7"/>
      <c r="V427" s="7"/>
    </row>
    <row r="428" spans="10:22" ht="12.75">
      <c r="J428" s="7"/>
      <c r="K428" s="7"/>
      <c r="L428" s="7"/>
      <c r="M428" s="7"/>
      <c r="O428" s="7"/>
      <c r="P428" s="7"/>
      <c r="Q428" s="7"/>
      <c r="S428" s="7"/>
      <c r="U428" s="7"/>
      <c r="V428" s="7"/>
    </row>
    <row r="429" spans="10:22" ht="12.75">
      <c r="J429" s="7"/>
      <c r="K429" s="7"/>
      <c r="L429" s="7"/>
      <c r="M429" s="7"/>
      <c r="O429" s="7"/>
      <c r="P429" s="7"/>
      <c r="Q429" s="7"/>
      <c r="S429" s="7"/>
      <c r="U429" s="7"/>
      <c r="V429" s="7"/>
    </row>
    <row r="430" spans="10:22" ht="12.75">
      <c r="J430" s="7"/>
      <c r="K430" s="7"/>
      <c r="L430" s="7"/>
      <c r="M430" s="7"/>
      <c r="O430" s="7"/>
      <c r="P430" s="7"/>
      <c r="Q430" s="7"/>
      <c r="S430" s="7"/>
      <c r="U430" s="7"/>
      <c r="V430" s="7"/>
    </row>
    <row r="431" spans="10:22" ht="12.75">
      <c r="J431" s="7"/>
      <c r="K431" s="7"/>
      <c r="L431" s="7"/>
      <c r="M431" s="7"/>
      <c r="O431" s="7"/>
      <c r="P431" s="7"/>
      <c r="Q431" s="7"/>
      <c r="S431" s="7"/>
      <c r="U431" s="7"/>
      <c r="V431" s="7"/>
    </row>
    <row r="432" spans="10:22" ht="12.75">
      <c r="J432" s="7"/>
      <c r="K432" s="7"/>
      <c r="L432" s="7"/>
      <c r="M432" s="7"/>
      <c r="O432" s="7"/>
      <c r="P432" s="7"/>
      <c r="Q432" s="7"/>
      <c r="S432" s="7"/>
      <c r="U432" s="7"/>
      <c r="V432" s="7"/>
    </row>
    <row r="433" spans="10:22" ht="12.75">
      <c r="J433" s="7"/>
      <c r="K433" s="7"/>
      <c r="L433" s="7"/>
      <c r="M433" s="7"/>
      <c r="O433" s="7"/>
      <c r="P433" s="7"/>
      <c r="Q433" s="7"/>
      <c r="S433" s="7"/>
      <c r="U433" s="7"/>
      <c r="V433" s="7"/>
    </row>
    <row r="434" spans="10:22" ht="12.75">
      <c r="J434" s="7"/>
      <c r="K434" s="7"/>
      <c r="L434" s="7"/>
      <c r="M434" s="7"/>
      <c r="O434" s="7"/>
      <c r="P434" s="7"/>
      <c r="Q434" s="7"/>
      <c r="S434" s="7"/>
      <c r="U434" s="7"/>
      <c r="V434" s="7"/>
    </row>
    <row r="435" spans="10:22" ht="12.75">
      <c r="J435" s="7"/>
      <c r="K435" s="7"/>
      <c r="L435" s="7"/>
      <c r="M435" s="7"/>
      <c r="O435" s="7"/>
      <c r="P435" s="7"/>
      <c r="Q435" s="7"/>
      <c r="S435" s="7"/>
      <c r="U435" s="7"/>
      <c r="V435" s="7"/>
    </row>
    <row r="436" spans="10:22" ht="12.75">
      <c r="J436" s="7"/>
      <c r="K436" s="7"/>
      <c r="L436" s="7"/>
      <c r="M436" s="7"/>
      <c r="O436" s="7"/>
      <c r="P436" s="7"/>
      <c r="Q436" s="7"/>
      <c r="S436" s="7"/>
      <c r="U436" s="7"/>
      <c r="V436" s="7"/>
    </row>
    <row r="437" spans="10:22" ht="12.75">
      <c r="J437" s="7"/>
      <c r="K437" s="7"/>
      <c r="L437" s="7"/>
      <c r="M437" s="7"/>
      <c r="O437" s="7"/>
      <c r="P437" s="7"/>
      <c r="Q437" s="7"/>
      <c r="S437" s="7"/>
      <c r="U437" s="7"/>
      <c r="V437" s="7"/>
    </row>
    <row r="438" spans="10:22" ht="12.75">
      <c r="J438" s="7"/>
      <c r="K438" s="7"/>
      <c r="L438" s="7"/>
      <c r="M438" s="7"/>
      <c r="O438" s="7"/>
      <c r="P438" s="7"/>
      <c r="Q438" s="7"/>
      <c r="S438" s="7"/>
      <c r="U438" s="7"/>
      <c r="V438" s="7"/>
    </row>
    <row r="439" spans="10:22" ht="12.75">
      <c r="J439" s="7"/>
      <c r="K439" s="7"/>
      <c r="L439" s="7"/>
      <c r="M439" s="7"/>
      <c r="O439" s="7"/>
      <c r="P439" s="7"/>
      <c r="Q439" s="7"/>
      <c r="S439" s="7"/>
      <c r="U439" s="7"/>
      <c r="V439" s="7"/>
    </row>
    <row r="440" spans="10:22" ht="12.75">
      <c r="J440" s="7"/>
      <c r="K440" s="7"/>
      <c r="L440" s="7"/>
      <c r="M440" s="7"/>
      <c r="O440" s="7"/>
      <c r="P440" s="7"/>
      <c r="Q440" s="7"/>
      <c r="S440" s="7"/>
      <c r="U440" s="7"/>
      <c r="V440" s="7"/>
    </row>
    <row r="441" spans="10:22" ht="12.75">
      <c r="J441" s="7"/>
      <c r="K441" s="7"/>
      <c r="L441" s="7"/>
      <c r="M441" s="7"/>
      <c r="O441" s="7"/>
      <c r="P441" s="7"/>
      <c r="Q441" s="7"/>
      <c r="S441" s="7"/>
      <c r="U441" s="7"/>
      <c r="V441" s="7"/>
    </row>
    <row r="442" spans="10:22" ht="12.75">
      <c r="J442" s="7"/>
      <c r="K442" s="7"/>
      <c r="L442" s="7"/>
      <c r="M442" s="7"/>
      <c r="O442" s="7"/>
      <c r="P442" s="7"/>
      <c r="Q442" s="7"/>
      <c r="S442" s="7"/>
      <c r="U442" s="7"/>
      <c r="V442" s="7"/>
    </row>
    <row r="443" spans="10:22" ht="12.75">
      <c r="J443" s="7"/>
      <c r="K443" s="7"/>
      <c r="L443" s="7"/>
      <c r="M443" s="7"/>
      <c r="O443" s="7"/>
      <c r="P443" s="7"/>
      <c r="Q443" s="7"/>
      <c r="S443" s="7"/>
      <c r="U443" s="7"/>
      <c r="V443" s="7"/>
    </row>
    <row r="444" spans="10:22" ht="12.75">
      <c r="J444" s="7"/>
      <c r="K444" s="7"/>
      <c r="L444" s="7"/>
      <c r="M444" s="7"/>
      <c r="O444" s="7"/>
      <c r="P444" s="7"/>
      <c r="Q444" s="7"/>
      <c r="S444" s="7"/>
      <c r="U444" s="7"/>
      <c r="V444" s="7"/>
    </row>
    <row r="445" spans="10:22" ht="12.75">
      <c r="J445" s="7"/>
      <c r="K445" s="7"/>
      <c r="L445" s="7"/>
      <c r="M445" s="7"/>
      <c r="O445" s="7"/>
      <c r="P445" s="7"/>
      <c r="Q445" s="7"/>
      <c r="S445" s="7"/>
      <c r="U445" s="7"/>
      <c r="V445" s="7"/>
    </row>
    <row r="446" spans="10:22" ht="12.75">
      <c r="J446" s="7"/>
      <c r="K446" s="7"/>
      <c r="L446" s="7"/>
      <c r="M446" s="7"/>
      <c r="O446" s="7"/>
      <c r="P446" s="7"/>
      <c r="Q446" s="7"/>
      <c r="S446" s="7"/>
      <c r="U446" s="7"/>
      <c r="V446" s="7"/>
    </row>
    <row r="447" spans="10:22" ht="12.75">
      <c r="J447" s="7"/>
      <c r="K447" s="7"/>
      <c r="L447" s="7"/>
      <c r="M447" s="7"/>
      <c r="O447" s="7"/>
      <c r="P447" s="7"/>
      <c r="Q447" s="7"/>
      <c r="S447" s="7"/>
      <c r="U447" s="7"/>
      <c r="V447" s="7"/>
    </row>
    <row r="448" spans="10:22" ht="12.75">
      <c r="J448" s="7"/>
      <c r="K448" s="7"/>
      <c r="L448" s="7"/>
      <c r="M448" s="7"/>
      <c r="O448" s="7"/>
      <c r="P448" s="7"/>
      <c r="Q448" s="7"/>
      <c r="S448" s="7"/>
      <c r="U448" s="7"/>
      <c r="V448" s="7"/>
    </row>
    <row r="449" spans="10:22" ht="12.75">
      <c r="J449" s="7"/>
      <c r="K449" s="7"/>
      <c r="L449" s="7"/>
      <c r="M449" s="7"/>
      <c r="O449" s="7"/>
      <c r="P449" s="7"/>
      <c r="Q449" s="7"/>
      <c r="S449" s="7"/>
      <c r="U449" s="7"/>
      <c r="V449" s="7"/>
    </row>
    <row r="450" spans="10:22" ht="12.75">
      <c r="J450" s="7"/>
      <c r="K450" s="7"/>
      <c r="L450" s="7"/>
      <c r="M450" s="7"/>
      <c r="O450" s="7"/>
      <c r="P450" s="7"/>
      <c r="Q450" s="7"/>
      <c r="S450" s="7"/>
      <c r="U450" s="7"/>
      <c r="V450" s="7"/>
    </row>
    <row r="451" spans="10:22" ht="12.75">
      <c r="J451" s="7"/>
      <c r="K451" s="7"/>
      <c r="L451" s="7"/>
      <c r="M451" s="7"/>
      <c r="O451" s="7"/>
      <c r="P451" s="7"/>
      <c r="Q451" s="7"/>
      <c r="S451" s="7"/>
      <c r="U451" s="7"/>
      <c r="V451" s="7"/>
    </row>
    <row r="452" spans="10:22" ht="12.75">
      <c r="J452" s="7"/>
      <c r="K452" s="7"/>
      <c r="L452" s="7"/>
      <c r="M452" s="7"/>
      <c r="O452" s="7"/>
      <c r="P452" s="7"/>
      <c r="Q452" s="7"/>
      <c r="S452" s="7"/>
      <c r="U452" s="7"/>
      <c r="V452" s="7"/>
    </row>
    <row r="453" spans="10:22" ht="12.75">
      <c r="J453" s="7"/>
      <c r="K453" s="7"/>
      <c r="L453" s="7"/>
      <c r="M453" s="7"/>
      <c r="O453" s="7"/>
      <c r="P453" s="7"/>
      <c r="Q453" s="7"/>
      <c r="S453" s="7"/>
      <c r="U453" s="7"/>
      <c r="V453" s="7"/>
    </row>
    <row r="454" spans="10:22" ht="12.75">
      <c r="J454" s="7"/>
      <c r="K454" s="7"/>
      <c r="L454" s="7"/>
      <c r="M454" s="7"/>
      <c r="O454" s="7"/>
      <c r="P454" s="7"/>
      <c r="Q454" s="7"/>
      <c r="S454" s="7"/>
      <c r="U454" s="7"/>
      <c r="V454" s="7"/>
    </row>
    <row r="455" spans="10:22" ht="12.75">
      <c r="J455" s="7"/>
      <c r="K455" s="7"/>
      <c r="L455" s="7"/>
      <c r="M455" s="7"/>
      <c r="O455" s="7"/>
      <c r="P455" s="7"/>
      <c r="Q455" s="7"/>
      <c r="S455" s="7"/>
      <c r="U455" s="7"/>
      <c r="V455" s="7"/>
    </row>
    <row r="456" spans="10:22" ht="12.75">
      <c r="J456" s="7"/>
      <c r="K456" s="7"/>
      <c r="L456" s="7"/>
      <c r="M456" s="7"/>
      <c r="O456" s="7"/>
      <c r="P456" s="7"/>
      <c r="Q456" s="7"/>
      <c r="S456" s="7"/>
      <c r="U456" s="7"/>
      <c r="V456" s="7"/>
    </row>
    <row r="457" spans="10:22" ht="12.75">
      <c r="J457" s="7"/>
      <c r="K457" s="7"/>
      <c r="L457" s="7"/>
      <c r="M457" s="7"/>
      <c r="O457" s="7"/>
      <c r="P457" s="7"/>
      <c r="Q457" s="7"/>
      <c r="S457" s="7"/>
      <c r="U457" s="7"/>
      <c r="V457" s="7"/>
    </row>
    <row r="458" spans="10:22" ht="12.75">
      <c r="J458" s="7"/>
      <c r="K458" s="7"/>
      <c r="L458" s="7"/>
      <c r="M458" s="7"/>
      <c r="O458" s="7"/>
      <c r="P458" s="7"/>
      <c r="Q458" s="7"/>
      <c r="S458" s="7"/>
      <c r="U458" s="7"/>
      <c r="V458" s="7"/>
    </row>
    <row r="459" spans="10:22" ht="12.75">
      <c r="J459" s="7"/>
      <c r="K459" s="7"/>
      <c r="L459" s="7"/>
      <c r="M459" s="7"/>
      <c r="O459" s="7"/>
      <c r="P459" s="7"/>
      <c r="Q459" s="7"/>
      <c r="S459" s="7"/>
      <c r="U459" s="7"/>
      <c r="V459" s="7"/>
    </row>
    <row r="460" spans="10:22" ht="12.75">
      <c r="J460" s="7"/>
      <c r="K460" s="7"/>
      <c r="L460" s="7"/>
      <c r="M460" s="7"/>
      <c r="O460" s="7"/>
      <c r="P460" s="7"/>
      <c r="Q460" s="7"/>
      <c r="S460" s="7"/>
      <c r="U460" s="7"/>
      <c r="V460" s="7"/>
    </row>
    <row r="461" spans="10:22" ht="12.75">
      <c r="J461" s="7"/>
      <c r="K461" s="7"/>
      <c r="L461" s="7"/>
      <c r="M461" s="7"/>
      <c r="O461" s="7"/>
      <c r="P461" s="7"/>
      <c r="Q461" s="7"/>
      <c r="S461" s="7"/>
      <c r="U461" s="7"/>
      <c r="V461" s="7"/>
    </row>
    <row r="462" spans="10:22" ht="12.75">
      <c r="J462" s="7"/>
      <c r="K462" s="7"/>
      <c r="L462" s="7"/>
      <c r="M462" s="7"/>
      <c r="O462" s="7"/>
      <c r="P462" s="7"/>
      <c r="Q462" s="7"/>
      <c r="S462" s="7"/>
      <c r="U462" s="7"/>
      <c r="V462" s="7"/>
    </row>
    <row r="463" spans="10:22" ht="12.75">
      <c r="J463" s="7"/>
      <c r="K463" s="7"/>
      <c r="L463" s="7"/>
      <c r="M463" s="7"/>
      <c r="O463" s="7"/>
      <c r="P463" s="7"/>
      <c r="Q463" s="7"/>
      <c r="S463" s="7"/>
      <c r="U463" s="7"/>
      <c r="V463" s="7"/>
    </row>
    <row r="464" spans="10:22" ht="12.75">
      <c r="J464" s="7"/>
      <c r="K464" s="7"/>
      <c r="L464" s="7"/>
      <c r="M464" s="7"/>
      <c r="O464" s="7"/>
      <c r="P464" s="7"/>
      <c r="Q464" s="7"/>
      <c r="S464" s="7"/>
      <c r="U464" s="7"/>
      <c r="V464" s="7"/>
    </row>
    <row r="465" spans="10:22" ht="12.75">
      <c r="J465" s="7"/>
      <c r="K465" s="7"/>
      <c r="L465" s="7"/>
      <c r="M465" s="7"/>
      <c r="O465" s="7"/>
      <c r="P465" s="7"/>
      <c r="Q465" s="7"/>
      <c r="S465" s="7"/>
      <c r="U465" s="7"/>
      <c r="V465" s="7"/>
    </row>
    <row r="466" spans="10:22" ht="12.75">
      <c r="J466" s="7"/>
      <c r="K466" s="7"/>
      <c r="L466" s="7"/>
      <c r="M466" s="7"/>
      <c r="O466" s="7"/>
      <c r="P466" s="7"/>
      <c r="Q466" s="7"/>
      <c r="S466" s="7"/>
      <c r="U466" s="7"/>
      <c r="V466" s="7"/>
    </row>
    <row r="467" spans="10:22" ht="12.75">
      <c r="J467" s="7"/>
      <c r="K467" s="7"/>
      <c r="L467" s="7"/>
      <c r="M467" s="7"/>
      <c r="O467" s="7"/>
      <c r="P467" s="7"/>
      <c r="Q467" s="7"/>
      <c r="S467" s="7"/>
      <c r="U467" s="7"/>
      <c r="V467" s="7"/>
    </row>
    <row r="468" spans="10:22" ht="12.75">
      <c r="J468" s="7"/>
      <c r="K468" s="7"/>
      <c r="L468" s="7"/>
      <c r="M468" s="7"/>
      <c r="O468" s="7"/>
      <c r="P468" s="7"/>
      <c r="Q468" s="7"/>
      <c r="S468" s="7"/>
      <c r="U468" s="7"/>
      <c r="V468" s="7"/>
    </row>
    <row r="469" spans="10:22" ht="12.75">
      <c r="J469" s="7"/>
      <c r="K469" s="7"/>
      <c r="L469" s="7"/>
      <c r="M469" s="7"/>
      <c r="O469" s="7"/>
      <c r="P469" s="7"/>
      <c r="Q469" s="7"/>
      <c r="S469" s="7"/>
      <c r="U469" s="7"/>
      <c r="V469" s="7"/>
    </row>
    <row r="470" spans="10:22" ht="12.75">
      <c r="J470" s="7"/>
      <c r="K470" s="7"/>
      <c r="L470" s="7"/>
      <c r="M470" s="7"/>
      <c r="O470" s="7"/>
      <c r="P470" s="7"/>
      <c r="Q470" s="7"/>
      <c r="S470" s="7"/>
      <c r="U470" s="7"/>
      <c r="V470" s="7"/>
    </row>
    <row r="471" spans="10:22" ht="12.75">
      <c r="J471" s="7"/>
      <c r="K471" s="7"/>
      <c r="L471" s="7"/>
      <c r="M471" s="7"/>
      <c r="O471" s="7"/>
      <c r="P471" s="7"/>
      <c r="Q471" s="7"/>
      <c r="S471" s="7"/>
      <c r="U471" s="7"/>
      <c r="V471" s="7"/>
    </row>
    <row r="472" spans="10:22" ht="12.75">
      <c r="J472" s="7"/>
      <c r="K472" s="7"/>
      <c r="L472" s="7"/>
      <c r="M472" s="7"/>
      <c r="O472" s="7"/>
      <c r="P472" s="7"/>
      <c r="Q472" s="7"/>
      <c r="S472" s="7"/>
      <c r="U472" s="7"/>
      <c r="V472" s="7"/>
    </row>
    <row r="473" spans="10:22" ht="12.75">
      <c r="J473" s="7"/>
      <c r="K473" s="7"/>
      <c r="L473" s="7"/>
      <c r="M473" s="7"/>
      <c r="O473" s="7"/>
      <c r="P473" s="7"/>
      <c r="Q473" s="7"/>
      <c r="S473" s="7"/>
      <c r="U473" s="7"/>
      <c r="V473" s="7"/>
    </row>
    <row r="474" spans="10:22" ht="12.75">
      <c r="J474" s="7"/>
      <c r="K474" s="7"/>
      <c r="L474" s="7"/>
      <c r="M474" s="7"/>
      <c r="O474" s="7"/>
      <c r="P474" s="7"/>
      <c r="Q474" s="7"/>
      <c r="S474" s="7"/>
      <c r="U474" s="7"/>
      <c r="V474" s="7"/>
    </row>
    <row r="475" spans="10:22" ht="12.75">
      <c r="J475" s="7"/>
      <c r="K475" s="7"/>
      <c r="L475" s="7"/>
      <c r="M475" s="7"/>
      <c r="O475" s="7"/>
      <c r="P475" s="7"/>
      <c r="Q475" s="7"/>
      <c r="S475" s="7"/>
      <c r="U475" s="7"/>
      <c r="V475" s="7"/>
    </row>
    <row r="476" spans="10:22" ht="12.75">
      <c r="J476" s="7"/>
      <c r="K476" s="7"/>
      <c r="L476" s="7"/>
      <c r="M476" s="7"/>
      <c r="O476" s="7"/>
      <c r="P476" s="7"/>
      <c r="Q476" s="7"/>
      <c r="S476" s="7"/>
      <c r="U476" s="7"/>
      <c r="V476" s="7"/>
    </row>
    <row r="477" spans="10:22" ht="12.75">
      <c r="J477" s="7"/>
      <c r="K477" s="7"/>
      <c r="L477" s="7"/>
      <c r="M477" s="7"/>
      <c r="O477" s="7"/>
      <c r="P477" s="7"/>
      <c r="Q477" s="7"/>
      <c r="S477" s="7"/>
      <c r="U477" s="7"/>
      <c r="V477" s="7"/>
    </row>
    <row r="478" spans="10:22" ht="12.75">
      <c r="J478" s="7"/>
      <c r="K478" s="7"/>
      <c r="L478" s="7"/>
      <c r="M478" s="7"/>
      <c r="O478" s="7"/>
      <c r="P478" s="7"/>
      <c r="Q478" s="7"/>
      <c r="S478" s="7"/>
      <c r="U478" s="7"/>
      <c r="V478" s="7"/>
    </row>
    <row r="479" spans="10:22" ht="12.75">
      <c r="J479" s="7"/>
      <c r="K479" s="7"/>
      <c r="L479" s="7"/>
      <c r="M479" s="7"/>
      <c r="O479" s="7"/>
      <c r="P479" s="7"/>
      <c r="Q479" s="7"/>
      <c r="S479" s="7"/>
      <c r="U479" s="7"/>
      <c r="V479" s="7"/>
    </row>
    <row r="480" spans="10:22" ht="12.75">
      <c r="J480" s="7"/>
      <c r="K480" s="7"/>
      <c r="L480" s="7"/>
      <c r="M480" s="7"/>
      <c r="O480" s="7"/>
      <c r="P480" s="7"/>
      <c r="Q480" s="7"/>
      <c r="S480" s="7"/>
      <c r="U480" s="7"/>
      <c r="V480" s="7"/>
    </row>
    <row r="481" spans="10:22" ht="12.75">
      <c r="J481" s="7"/>
      <c r="K481" s="7"/>
      <c r="L481" s="7"/>
      <c r="M481" s="7"/>
      <c r="O481" s="7"/>
      <c r="P481" s="7"/>
      <c r="Q481" s="7"/>
      <c r="S481" s="7"/>
      <c r="U481" s="7"/>
      <c r="V481" s="7"/>
    </row>
    <row r="482" spans="10:22" ht="12.75">
      <c r="J482" s="7"/>
      <c r="K482" s="7"/>
      <c r="L482" s="7"/>
      <c r="M482" s="7"/>
      <c r="O482" s="7"/>
      <c r="P482" s="7"/>
      <c r="Q482" s="7"/>
      <c r="S482" s="7"/>
      <c r="U482" s="7"/>
      <c r="V482" s="7"/>
    </row>
    <row r="483" spans="10:22" ht="12.75">
      <c r="J483" s="7"/>
      <c r="K483" s="7"/>
      <c r="L483" s="7"/>
      <c r="M483" s="7"/>
      <c r="O483" s="7"/>
      <c r="P483" s="7"/>
      <c r="Q483" s="7"/>
      <c r="S483" s="7"/>
      <c r="U483" s="7"/>
      <c r="V483" s="7"/>
    </row>
    <row r="484" spans="10:22" ht="12.75">
      <c r="J484" s="7"/>
      <c r="K484" s="7"/>
      <c r="L484" s="7"/>
      <c r="M484" s="7"/>
      <c r="O484" s="7"/>
      <c r="P484" s="7"/>
      <c r="Q484" s="7"/>
      <c r="S484" s="7"/>
      <c r="U484" s="7"/>
      <c r="V484" s="7"/>
    </row>
    <row r="485" spans="10:22" ht="12.75">
      <c r="J485" s="7"/>
      <c r="K485" s="7"/>
      <c r="L485" s="7"/>
      <c r="M485" s="7"/>
      <c r="O485" s="7"/>
      <c r="P485" s="7"/>
      <c r="Q485" s="7"/>
      <c r="S485" s="7"/>
      <c r="U485" s="7"/>
      <c r="V485" s="7"/>
    </row>
    <row r="486" spans="10:22" ht="12.75">
      <c r="J486" s="7"/>
      <c r="K486" s="7"/>
      <c r="L486" s="7"/>
      <c r="M486" s="7"/>
      <c r="O486" s="7"/>
      <c r="P486" s="7"/>
      <c r="Q486" s="7"/>
      <c r="S486" s="7"/>
      <c r="U486" s="7"/>
      <c r="V486" s="7"/>
    </row>
    <row r="487" spans="10:22" ht="12.75">
      <c r="J487" s="7"/>
      <c r="K487" s="7"/>
      <c r="L487" s="7"/>
      <c r="M487" s="7"/>
      <c r="O487" s="7"/>
      <c r="P487" s="7"/>
      <c r="Q487" s="7"/>
      <c r="S487" s="7"/>
      <c r="U487" s="7"/>
      <c r="V487" s="7"/>
    </row>
    <row r="488" spans="10:22" ht="12.75">
      <c r="J488" s="7"/>
      <c r="K488" s="7"/>
      <c r="L488" s="7"/>
      <c r="M488" s="7"/>
      <c r="O488" s="7"/>
      <c r="P488" s="7"/>
      <c r="Q488" s="7"/>
      <c r="S488" s="7"/>
      <c r="U488" s="7"/>
      <c r="V488" s="7"/>
    </row>
    <row r="489" spans="10:22" ht="12.75">
      <c r="J489" s="7"/>
      <c r="K489" s="7"/>
      <c r="L489" s="7"/>
      <c r="M489" s="7"/>
      <c r="O489" s="7"/>
      <c r="P489" s="7"/>
      <c r="Q489" s="7"/>
      <c r="S489" s="7"/>
      <c r="U489" s="7"/>
      <c r="V489" s="7"/>
    </row>
    <row r="490" spans="10:22" ht="12.75">
      <c r="J490" s="7"/>
      <c r="K490" s="7"/>
      <c r="L490" s="7"/>
      <c r="M490" s="7"/>
      <c r="O490" s="7"/>
      <c r="P490" s="7"/>
      <c r="Q490" s="7"/>
      <c r="S490" s="7"/>
      <c r="U490" s="7"/>
      <c r="V490" s="7"/>
    </row>
    <row r="491" spans="10:22" ht="12.75">
      <c r="J491" s="7"/>
      <c r="K491" s="7"/>
      <c r="L491" s="7"/>
      <c r="M491" s="7"/>
      <c r="O491" s="7"/>
      <c r="P491" s="7"/>
      <c r="Q491" s="7"/>
      <c r="S491" s="7"/>
      <c r="U491" s="7"/>
      <c r="V491" s="7"/>
    </row>
    <row r="492" spans="10:22" ht="12.75">
      <c r="J492" s="7"/>
      <c r="K492" s="7"/>
      <c r="L492" s="7"/>
      <c r="M492" s="7"/>
      <c r="O492" s="7"/>
      <c r="P492" s="7"/>
      <c r="Q492" s="7"/>
      <c r="S492" s="7"/>
      <c r="U492" s="7"/>
      <c r="V492" s="7"/>
    </row>
    <row r="493" spans="10:22" ht="12.75">
      <c r="J493" s="7"/>
      <c r="K493" s="7"/>
      <c r="L493" s="7"/>
      <c r="M493" s="7"/>
      <c r="O493" s="7"/>
      <c r="P493" s="7"/>
      <c r="Q493" s="7"/>
      <c r="S493" s="7"/>
      <c r="U493" s="7"/>
      <c r="V493" s="7"/>
    </row>
    <row r="494" spans="10:22" ht="12.75">
      <c r="J494" s="7"/>
      <c r="K494" s="7"/>
      <c r="L494" s="7"/>
      <c r="M494" s="7"/>
      <c r="O494" s="7"/>
      <c r="P494" s="7"/>
      <c r="Q494" s="7"/>
      <c r="S494" s="7"/>
      <c r="U494" s="7"/>
      <c r="V494" s="7"/>
    </row>
    <row r="495" spans="10:22" ht="12.75">
      <c r="J495" s="7"/>
      <c r="K495" s="7"/>
      <c r="L495" s="7"/>
      <c r="M495" s="7"/>
      <c r="O495" s="7"/>
      <c r="P495" s="7"/>
      <c r="Q495" s="7"/>
      <c r="S495" s="7"/>
      <c r="U495" s="7"/>
      <c r="V495" s="7"/>
    </row>
    <row r="496" spans="10:22" ht="12.75">
      <c r="J496" s="7"/>
      <c r="K496" s="7"/>
      <c r="L496" s="7"/>
      <c r="M496" s="7"/>
      <c r="O496" s="7"/>
      <c r="P496" s="7"/>
      <c r="Q496" s="7"/>
      <c r="S496" s="7"/>
      <c r="U496" s="7"/>
      <c r="V496" s="7"/>
    </row>
    <row r="497" spans="10:22" ht="12.75">
      <c r="J497" s="7"/>
      <c r="K497" s="7"/>
      <c r="L497" s="7"/>
      <c r="M497" s="7"/>
      <c r="O497" s="7"/>
      <c r="P497" s="7"/>
      <c r="Q497" s="7"/>
      <c r="S497" s="7"/>
      <c r="U497" s="7"/>
      <c r="V497" s="7"/>
    </row>
    <row r="498" spans="10:22" ht="12.75">
      <c r="J498" s="7"/>
      <c r="K498" s="7"/>
      <c r="L498" s="7"/>
      <c r="M498" s="7"/>
      <c r="O498" s="7"/>
      <c r="P498" s="7"/>
      <c r="Q498" s="7"/>
      <c r="S498" s="7"/>
      <c r="U498" s="7"/>
      <c r="V498" s="7"/>
    </row>
    <row r="499" spans="10:22" ht="12.75">
      <c r="J499" s="7"/>
      <c r="K499" s="7"/>
      <c r="L499" s="7"/>
      <c r="M499" s="7"/>
      <c r="O499" s="7"/>
      <c r="P499" s="7"/>
      <c r="Q499" s="7"/>
      <c r="S499" s="7"/>
      <c r="U499" s="7"/>
      <c r="V499" s="7"/>
    </row>
    <row r="500" spans="10:22" ht="12.75">
      <c r="J500" s="7"/>
      <c r="K500" s="7"/>
      <c r="L500" s="7"/>
      <c r="M500" s="7"/>
      <c r="O500" s="7"/>
      <c r="P500" s="7"/>
      <c r="Q500" s="7"/>
      <c r="S500" s="7"/>
      <c r="U500" s="7"/>
      <c r="V500" s="7"/>
    </row>
    <row r="501" spans="10:22" ht="12.75">
      <c r="J501" s="7"/>
      <c r="K501" s="7"/>
      <c r="L501" s="7"/>
      <c r="M501" s="7"/>
      <c r="O501" s="7"/>
      <c r="P501" s="7"/>
      <c r="Q501" s="7"/>
      <c r="S501" s="7"/>
      <c r="U501" s="7"/>
      <c r="V501" s="7"/>
    </row>
    <row r="502" spans="10:22" ht="12.75">
      <c r="J502" s="7"/>
      <c r="K502" s="7"/>
      <c r="L502" s="7"/>
      <c r="M502" s="7"/>
      <c r="O502" s="7"/>
      <c r="P502" s="7"/>
      <c r="Q502" s="7"/>
      <c r="S502" s="7"/>
      <c r="U502" s="7"/>
      <c r="V502" s="7"/>
    </row>
    <row r="503" spans="10:22" ht="12.75">
      <c r="J503" s="7"/>
      <c r="K503" s="7"/>
      <c r="L503" s="7"/>
      <c r="M503" s="7"/>
      <c r="O503" s="7"/>
      <c r="P503" s="7"/>
      <c r="Q503" s="7"/>
      <c r="S503" s="7"/>
      <c r="U503" s="7"/>
      <c r="V503" s="7"/>
    </row>
    <row r="504" spans="10:22" ht="12.75">
      <c r="J504" s="7"/>
      <c r="K504" s="7"/>
      <c r="L504" s="7"/>
      <c r="M504" s="7"/>
      <c r="O504" s="7"/>
      <c r="P504" s="7"/>
      <c r="Q504" s="7"/>
      <c r="S504" s="7"/>
      <c r="U504" s="7"/>
      <c r="V504" s="7"/>
    </row>
    <row r="505" spans="10:22" ht="12.75">
      <c r="J505" s="7"/>
      <c r="K505" s="7"/>
      <c r="L505" s="7"/>
      <c r="M505" s="7"/>
      <c r="O505" s="7"/>
      <c r="P505" s="7"/>
      <c r="Q505" s="7"/>
      <c r="S505" s="7"/>
      <c r="U505" s="7"/>
      <c r="V505" s="7"/>
    </row>
    <row r="506" spans="10:22" ht="12.75">
      <c r="J506" s="7"/>
      <c r="K506" s="7"/>
      <c r="L506" s="7"/>
      <c r="M506" s="7"/>
      <c r="O506" s="7"/>
      <c r="P506" s="7"/>
      <c r="Q506" s="7"/>
      <c r="S506" s="7"/>
      <c r="U506" s="7"/>
      <c r="V506" s="7"/>
    </row>
    <row r="507" spans="10:22" ht="12.75">
      <c r="J507" s="7"/>
      <c r="K507" s="7"/>
      <c r="L507" s="7"/>
      <c r="M507" s="7"/>
      <c r="O507" s="7"/>
      <c r="P507" s="7"/>
      <c r="Q507" s="7"/>
      <c r="S507" s="7"/>
      <c r="U507" s="7"/>
      <c r="V507" s="7"/>
    </row>
    <row r="508" spans="10:22" ht="12.75">
      <c r="J508" s="7"/>
      <c r="K508" s="7"/>
      <c r="L508" s="7"/>
      <c r="M508" s="7"/>
      <c r="O508" s="7"/>
      <c r="P508" s="7"/>
      <c r="Q508" s="7"/>
      <c r="S508" s="7"/>
      <c r="U508" s="7"/>
      <c r="V508" s="7"/>
    </row>
    <row r="509" spans="10:22" ht="12.75">
      <c r="J509" s="7"/>
      <c r="K509" s="7"/>
      <c r="L509" s="7"/>
      <c r="M509" s="7"/>
      <c r="O509" s="7"/>
      <c r="P509" s="7"/>
      <c r="Q509" s="7"/>
      <c r="S509" s="7"/>
      <c r="U509" s="7"/>
      <c r="V509" s="7"/>
    </row>
    <row r="510" spans="10:22" ht="12.75">
      <c r="J510" s="7"/>
      <c r="K510" s="7"/>
      <c r="L510" s="7"/>
      <c r="M510" s="7"/>
      <c r="O510" s="7"/>
      <c r="P510" s="7"/>
      <c r="Q510" s="7"/>
      <c r="S510" s="7"/>
      <c r="U510" s="7"/>
      <c r="V510" s="7"/>
    </row>
    <row r="511" spans="10:22" ht="12.75">
      <c r="J511" s="7"/>
      <c r="K511" s="7"/>
      <c r="L511" s="7"/>
      <c r="M511" s="7"/>
      <c r="O511" s="7"/>
      <c r="P511" s="7"/>
      <c r="Q511" s="7"/>
      <c r="S511" s="7"/>
      <c r="U511" s="7"/>
      <c r="V511" s="7"/>
    </row>
    <row r="512" spans="10:22" ht="12.75">
      <c r="J512" s="7"/>
      <c r="K512" s="7"/>
      <c r="L512" s="7"/>
      <c r="M512" s="7"/>
      <c r="O512" s="7"/>
      <c r="P512" s="7"/>
      <c r="Q512" s="7"/>
      <c r="S512" s="7"/>
      <c r="U512" s="7"/>
      <c r="V512" s="7"/>
    </row>
    <row r="513" spans="10:22" ht="12.75">
      <c r="J513" s="7"/>
      <c r="K513" s="7"/>
      <c r="L513" s="7"/>
      <c r="M513" s="7"/>
      <c r="O513" s="7"/>
      <c r="P513" s="7"/>
      <c r="Q513" s="7"/>
      <c r="S513" s="7"/>
      <c r="U513" s="7"/>
      <c r="V513" s="7"/>
    </row>
    <row r="514" spans="10:22" ht="12.75">
      <c r="J514" s="7"/>
      <c r="K514" s="7"/>
      <c r="L514" s="7"/>
      <c r="M514" s="7"/>
      <c r="O514" s="7"/>
      <c r="P514" s="7"/>
      <c r="Q514" s="7"/>
      <c r="S514" s="7"/>
      <c r="U514" s="7"/>
      <c r="V514" s="7"/>
    </row>
    <row r="515" spans="10:22" ht="12.75">
      <c r="J515" s="7"/>
      <c r="K515" s="7"/>
      <c r="L515" s="7"/>
      <c r="M515" s="7"/>
      <c r="O515" s="7"/>
      <c r="P515" s="7"/>
      <c r="Q515" s="7"/>
      <c r="S515" s="7"/>
      <c r="U515" s="7"/>
      <c r="V515" s="7"/>
    </row>
    <row r="516" spans="10:22" ht="12.75">
      <c r="J516" s="7"/>
      <c r="K516" s="7"/>
      <c r="L516" s="7"/>
      <c r="M516" s="7"/>
      <c r="O516" s="7"/>
      <c r="P516" s="7"/>
      <c r="Q516" s="7"/>
      <c r="S516" s="7"/>
      <c r="U516" s="7"/>
      <c r="V516" s="7"/>
    </row>
    <row r="517" spans="10:22" ht="12.75">
      <c r="J517" s="7"/>
      <c r="K517" s="7"/>
      <c r="L517" s="7"/>
      <c r="M517" s="7"/>
      <c r="O517" s="7"/>
      <c r="P517" s="7"/>
      <c r="Q517" s="7"/>
      <c r="S517" s="7"/>
      <c r="U517" s="7"/>
      <c r="V517" s="7"/>
    </row>
    <row r="518" spans="10:22" ht="12.75">
      <c r="J518" s="7"/>
      <c r="K518" s="7"/>
      <c r="L518" s="7"/>
      <c r="M518" s="7"/>
      <c r="O518" s="7"/>
      <c r="P518" s="7"/>
      <c r="Q518" s="7"/>
      <c r="S518" s="7"/>
      <c r="U518" s="7"/>
      <c r="V518" s="7"/>
    </row>
    <row r="519" spans="10:22" ht="12.75">
      <c r="J519" s="7"/>
      <c r="K519" s="7"/>
      <c r="L519" s="7"/>
      <c r="M519" s="7"/>
      <c r="O519" s="7"/>
      <c r="P519" s="7"/>
      <c r="Q519" s="7"/>
      <c r="S519" s="7"/>
      <c r="U519" s="7"/>
      <c r="V519" s="7"/>
    </row>
    <row r="520" spans="10:22" ht="12.75">
      <c r="J520" s="7"/>
      <c r="K520" s="7"/>
      <c r="L520" s="7"/>
      <c r="M520" s="7"/>
      <c r="O520" s="7"/>
      <c r="P520" s="7"/>
      <c r="Q520" s="7"/>
      <c r="S520" s="7"/>
      <c r="U520" s="7"/>
      <c r="V520" s="7"/>
    </row>
    <row r="521" spans="10:22" ht="12.75">
      <c r="J521" s="7"/>
      <c r="K521" s="7"/>
      <c r="L521" s="7"/>
      <c r="M521" s="7"/>
      <c r="O521" s="7"/>
      <c r="P521" s="7"/>
      <c r="Q521" s="7"/>
      <c r="S521" s="7"/>
      <c r="U521" s="7"/>
      <c r="V521" s="7"/>
    </row>
    <row r="522" spans="10:22" ht="12.75">
      <c r="J522" s="7"/>
      <c r="K522" s="7"/>
      <c r="L522" s="7"/>
      <c r="M522" s="7"/>
      <c r="O522" s="7"/>
      <c r="P522" s="7"/>
      <c r="Q522" s="7"/>
      <c r="S522" s="7"/>
      <c r="U522" s="7"/>
      <c r="V522" s="7"/>
    </row>
    <row r="523" spans="10:22" ht="12.75">
      <c r="J523" s="7"/>
      <c r="K523" s="7"/>
      <c r="L523" s="7"/>
      <c r="M523" s="7"/>
      <c r="O523" s="7"/>
      <c r="P523" s="7"/>
      <c r="Q523" s="7"/>
      <c r="S523" s="7"/>
      <c r="U523" s="7"/>
      <c r="V523" s="7"/>
    </row>
    <row r="524" spans="10:22" ht="12.75">
      <c r="J524" s="7"/>
      <c r="K524" s="7"/>
      <c r="L524" s="7"/>
      <c r="M524" s="7"/>
      <c r="O524" s="7"/>
      <c r="P524" s="7"/>
      <c r="Q524" s="7"/>
      <c r="S524" s="7"/>
      <c r="U524" s="7"/>
      <c r="V524" s="7"/>
    </row>
    <row r="525" spans="10:22" ht="12.75">
      <c r="J525" s="7"/>
      <c r="K525" s="7"/>
      <c r="L525" s="7"/>
      <c r="M525" s="7"/>
      <c r="O525" s="7"/>
      <c r="P525" s="7"/>
      <c r="Q525" s="7"/>
      <c r="S525" s="7"/>
      <c r="U525" s="7"/>
      <c r="V525" s="7"/>
    </row>
    <row r="526" spans="10:22" ht="12.75">
      <c r="J526" s="7"/>
      <c r="K526" s="7"/>
      <c r="L526" s="7"/>
      <c r="M526" s="7"/>
      <c r="O526" s="7"/>
      <c r="P526" s="7"/>
      <c r="Q526" s="7"/>
      <c r="S526" s="7"/>
      <c r="U526" s="7"/>
      <c r="V526" s="7"/>
    </row>
    <row r="527" spans="10:22" ht="12.75">
      <c r="J527" s="7"/>
      <c r="K527" s="7"/>
      <c r="L527" s="7"/>
      <c r="M527" s="7"/>
      <c r="O527" s="7"/>
      <c r="P527" s="7"/>
      <c r="Q527" s="7"/>
      <c r="S527" s="7"/>
      <c r="U527" s="7"/>
      <c r="V527" s="7"/>
    </row>
    <row r="528" spans="10:22" ht="12.75">
      <c r="J528" s="7"/>
      <c r="K528" s="7"/>
      <c r="L528" s="7"/>
      <c r="M528" s="7"/>
      <c r="O528" s="7"/>
      <c r="P528" s="7"/>
      <c r="Q528" s="7"/>
      <c r="S528" s="7"/>
      <c r="U528" s="7"/>
      <c r="V528" s="7"/>
    </row>
    <row r="529" spans="10:22" ht="12.75">
      <c r="J529" s="7"/>
      <c r="K529" s="7"/>
      <c r="L529" s="7"/>
      <c r="M529" s="7"/>
      <c r="O529" s="7"/>
      <c r="P529" s="7"/>
      <c r="Q529" s="7"/>
      <c r="S529" s="7"/>
      <c r="U529" s="7"/>
      <c r="V529" s="7"/>
    </row>
    <row r="530" spans="10:22" ht="12.75">
      <c r="J530" s="7"/>
      <c r="K530" s="7"/>
      <c r="L530" s="7"/>
      <c r="M530" s="7"/>
      <c r="O530" s="7"/>
      <c r="P530" s="7"/>
      <c r="Q530" s="7"/>
      <c r="S530" s="7"/>
      <c r="U530" s="7"/>
      <c r="V530" s="7"/>
    </row>
    <row r="531" spans="10:22" ht="12.75">
      <c r="J531" s="7"/>
      <c r="K531" s="7"/>
      <c r="L531" s="7"/>
      <c r="M531" s="7"/>
      <c r="O531" s="7"/>
      <c r="P531" s="7"/>
      <c r="Q531" s="7"/>
      <c r="S531" s="7"/>
      <c r="U531" s="7"/>
      <c r="V531" s="7"/>
    </row>
    <row r="532" spans="10:22" ht="12.75">
      <c r="J532" s="7"/>
      <c r="K532" s="7"/>
      <c r="L532" s="7"/>
      <c r="M532" s="7"/>
      <c r="O532" s="7"/>
      <c r="P532" s="7"/>
      <c r="Q532" s="7"/>
      <c r="S532" s="7"/>
      <c r="U532" s="7"/>
      <c r="V532" s="7"/>
    </row>
    <row r="533" spans="10:22" ht="12.75">
      <c r="J533" s="7"/>
      <c r="K533" s="7"/>
      <c r="L533" s="7"/>
      <c r="M533" s="7"/>
      <c r="O533" s="7"/>
      <c r="P533" s="7"/>
      <c r="Q533" s="7"/>
      <c r="S533" s="7"/>
      <c r="U533" s="7"/>
      <c r="V533" s="7"/>
    </row>
    <row r="534" spans="10:22" ht="12.75">
      <c r="J534" s="7"/>
      <c r="K534" s="7"/>
      <c r="L534" s="7"/>
      <c r="M534" s="7"/>
      <c r="O534" s="7"/>
      <c r="P534" s="7"/>
      <c r="Q534" s="7"/>
      <c r="S534" s="7"/>
      <c r="U534" s="7"/>
      <c r="V534" s="7"/>
    </row>
    <row r="535" spans="10:22" ht="12.75">
      <c r="J535" s="7"/>
      <c r="K535" s="7"/>
      <c r="L535" s="7"/>
      <c r="M535" s="7"/>
      <c r="O535" s="7"/>
      <c r="P535" s="7"/>
      <c r="Q535" s="7"/>
      <c r="S535" s="7"/>
      <c r="U535" s="7"/>
      <c r="V535" s="7"/>
    </row>
    <row r="536" spans="10:22" ht="12.75">
      <c r="J536" s="7"/>
      <c r="K536" s="7"/>
      <c r="L536" s="7"/>
      <c r="M536" s="7"/>
      <c r="O536" s="7"/>
      <c r="P536" s="7"/>
      <c r="Q536" s="7"/>
      <c r="S536" s="7"/>
      <c r="U536" s="7"/>
      <c r="V536" s="7"/>
    </row>
    <row r="537" spans="10:22" ht="12.75">
      <c r="J537" s="7"/>
      <c r="K537" s="7"/>
      <c r="L537" s="7"/>
      <c r="M537" s="7"/>
      <c r="O537" s="7"/>
      <c r="P537" s="7"/>
      <c r="Q537" s="7"/>
      <c r="S537" s="7"/>
      <c r="U537" s="7"/>
      <c r="V537" s="7"/>
    </row>
    <row r="538" spans="10:22" ht="12.75">
      <c r="J538" s="7"/>
      <c r="K538" s="7"/>
      <c r="L538" s="7"/>
      <c r="M538" s="7"/>
      <c r="O538" s="7"/>
      <c r="P538" s="7"/>
      <c r="Q538" s="7"/>
      <c r="S538" s="7"/>
      <c r="U538" s="7"/>
      <c r="V538" s="7"/>
    </row>
    <row r="539" spans="10:22" ht="12.75">
      <c r="J539" s="7"/>
      <c r="K539" s="7"/>
      <c r="L539" s="7"/>
      <c r="M539" s="7"/>
      <c r="O539" s="7"/>
      <c r="P539" s="7"/>
      <c r="Q539" s="7"/>
      <c r="S539" s="7"/>
      <c r="U539" s="7"/>
      <c r="V539" s="7"/>
    </row>
    <row r="540" spans="10:22" ht="12.75">
      <c r="J540" s="7"/>
      <c r="K540" s="7"/>
      <c r="L540" s="7"/>
      <c r="M540" s="7"/>
      <c r="O540" s="7"/>
      <c r="P540" s="7"/>
      <c r="Q540" s="7"/>
      <c r="S540" s="7"/>
      <c r="U540" s="7"/>
      <c r="V540" s="7"/>
    </row>
    <row r="541" spans="10:22" ht="12.75">
      <c r="J541" s="7"/>
      <c r="K541" s="7"/>
      <c r="L541" s="7"/>
      <c r="M541" s="7"/>
      <c r="O541" s="7"/>
      <c r="P541" s="7"/>
      <c r="Q541" s="7"/>
      <c r="S541" s="7"/>
      <c r="U541" s="7"/>
      <c r="V541" s="7"/>
    </row>
    <row r="542" spans="10:22" ht="12.75">
      <c r="J542" s="7"/>
      <c r="K542" s="7"/>
      <c r="L542" s="7"/>
      <c r="M542" s="7"/>
      <c r="O542" s="7"/>
      <c r="P542" s="7"/>
      <c r="Q542" s="7"/>
      <c r="S542" s="7"/>
      <c r="U542" s="7"/>
      <c r="V542" s="7"/>
    </row>
    <row r="543" spans="10:22" ht="12.75">
      <c r="J543" s="7"/>
      <c r="K543" s="7"/>
      <c r="L543" s="7"/>
      <c r="M543" s="7"/>
      <c r="O543" s="7"/>
      <c r="P543" s="7"/>
      <c r="Q543" s="7"/>
      <c r="S543" s="7"/>
      <c r="U543" s="7"/>
      <c r="V543" s="7"/>
    </row>
    <row r="544" spans="10:22" ht="12.75">
      <c r="J544" s="7"/>
      <c r="K544" s="7"/>
      <c r="L544" s="7"/>
      <c r="M544" s="7"/>
      <c r="O544" s="7"/>
      <c r="P544" s="7"/>
      <c r="Q544" s="7"/>
      <c r="S544" s="7"/>
      <c r="U544" s="7"/>
      <c r="V544" s="7"/>
    </row>
    <row r="545" spans="10:22" ht="12.75">
      <c r="J545" s="7"/>
      <c r="K545" s="7"/>
      <c r="L545" s="7"/>
      <c r="M545" s="7"/>
      <c r="O545" s="7"/>
      <c r="P545" s="7"/>
      <c r="Q545" s="7"/>
      <c r="S545" s="7"/>
      <c r="U545" s="7"/>
      <c r="V545" s="7"/>
    </row>
    <row r="546" spans="10:22" ht="12.75">
      <c r="J546" s="7"/>
      <c r="K546" s="7"/>
      <c r="L546" s="7"/>
      <c r="M546" s="7"/>
      <c r="O546" s="7"/>
      <c r="P546" s="7"/>
      <c r="Q546" s="7"/>
      <c r="S546" s="7"/>
      <c r="U546" s="7"/>
      <c r="V546" s="7"/>
    </row>
    <row r="547" spans="10:22" ht="12.75">
      <c r="J547" s="7"/>
      <c r="K547" s="7"/>
      <c r="L547" s="7"/>
      <c r="M547" s="7"/>
      <c r="O547" s="7"/>
      <c r="P547" s="7"/>
      <c r="Q547" s="7"/>
      <c r="S547" s="7"/>
      <c r="U547" s="7"/>
      <c r="V547" s="7"/>
    </row>
    <row r="548" spans="10:22" ht="12.75">
      <c r="J548" s="7"/>
      <c r="K548" s="7"/>
      <c r="L548" s="7"/>
      <c r="M548" s="7"/>
      <c r="O548" s="7"/>
      <c r="P548" s="7"/>
      <c r="Q548" s="7"/>
      <c r="S548" s="7"/>
      <c r="U548" s="7"/>
      <c r="V548" s="7"/>
    </row>
    <row r="549" spans="10:22" ht="12.75">
      <c r="J549" s="7"/>
      <c r="K549" s="7"/>
      <c r="L549" s="7"/>
      <c r="M549" s="7"/>
      <c r="O549" s="7"/>
      <c r="P549" s="7"/>
      <c r="Q549" s="7"/>
      <c r="S549" s="7"/>
      <c r="U549" s="7"/>
      <c r="V549" s="7"/>
    </row>
    <row r="550" spans="10:22" ht="12.75">
      <c r="J550" s="7"/>
      <c r="K550" s="7"/>
      <c r="L550" s="7"/>
      <c r="M550" s="7"/>
      <c r="O550" s="7"/>
      <c r="P550" s="7"/>
      <c r="Q550" s="7"/>
      <c r="S550" s="7"/>
      <c r="U550" s="7"/>
      <c r="V550" s="7"/>
    </row>
    <row r="551" spans="10:22" ht="12.75">
      <c r="J551" s="7"/>
      <c r="K551" s="7"/>
      <c r="L551" s="7"/>
      <c r="M551" s="7"/>
      <c r="O551" s="7"/>
      <c r="P551" s="7"/>
      <c r="Q551" s="7"/>
      <c r="S551" s="7"/>
      <c r="U551" s="7"/>
      <c r="V551" s="7"/>
    </row>
    <row r="552" spans="10:22" ht="12.75">
      <c r="J552" s="7"/>
      <c r="K552" s="7"/>
      <c r="L552" s="7"/>
      <c r="M552" s="7"/>
      <c r="O552" s="7"/>
      <c r="P552" s="7"/>
      <c r="Q552" s="7"/>
      <c r="S552" s="7"/>
      <c r="U552" s="7"/>
      <c r="V552" s="7"/>
    </row>
    <row r="553" spans="10:22" ht="12.75">
      <c r="J553" s="7"/>
      <c r="K553" s="7"/>
      <c r="L553" s="7"/>
      <c r="M553" s="7"/>
      <c r="O553" s="7"/>
      <c r="P553" s="7"/>
      <c r="Q553" s="7"/>
      <c r="S553" s="7"/>
      <c r="U553" s="7"/>
      <c r="V553" s="7"/>
    </row>
    <row r="554" spans="10:22" ht="12.75">
      <c r="J554" s="7"/>
      <c r="K554" s="7"/>
      <c r="L554" s="7"/>
      <c r="M554" s="7"/>
      <c r="O554" s="7"/>
      <c r="P554" s="7"/>
      <c r="Q554" s="7"/>
      <c r="S554" s="7"/>
      <c r="U554" s="7"/>
      <c r="V554" s="7"/>
    </row>
    <row r="555" spans="10:22" ht="12.75">
      <c r="J555" s="7"/>
      <c r="K555" s="7"/>
      <c r="L555" s="7"/>
      <c r="M555" s="7"/>
      <c r="O555" s="7"/>
      <c r="P555" s="7"/>
      <c r="Q555" s="7"/>
      <c r="S555" s="7"/>
      <c r="U555" s="7"/>
      <c r="V555" s="7"/>
    </row>
    <row r="556" spans="10:22" ht="12.75">
      <c r="J556" s="7"/>
      <c r="K556" s="7"/>
      <c r="L556" s="7"/>
      <c r="M556" s="7"/>
      <c r="O556" s="7"/>
      <c r="P556" s="7"/>
      <c r="Q556" s="7"/>
      <c r="S556" s="7"/>
      <c r="U556" s="7"/>
      <c r="V556" s="7"/>
    </row>
    <row r="557" spans="10:22" ht="12.75">
      <c r="J557" s="7"/>
      <c r="K557" s="7"/>
      <c r="L557" s="7"/>
      <c r="M557" s="7"/>
      <c r="O557" s="7"/>
      <c r="P557" s="7"/>
      <c r="Q557" s="7"/>
      <c r="S557" s="7"/>
      <c r="U557" s="7"/>
      <c r="V557" s="7"/>
    </row>
    <row r="558" spans="10:22" ht="12.75">
      <c r="J558" s="7"/>
      <c r="K558" s="7"/>
      <c r="L558" s="7"/>
      <c r="M558" s="7"/>
      <c r="O558" s="7"/>
      <c r="P558" s="7"/>
      <c r="Q558" s="7"/>
      <c r="S558" s="7"/>
      <c r="U558" s="7"/>
      <c r="V558" s="7"/>
    </row>
    <row r="559" spans="10:22" ht="12.75">
      <c r="J559" s="7"/>
      <c r="K559" s="7"/>
      <c r="L559" s="7"/>
      <c r="M559" s="7"/>
      <c r="O559" s="7"/>
      <c r="P559" s="7"/>
      <c r="Q559" s="7"/>
      <c r="S559" s="7"/>
      <c r="U559" s="7"/>
      <c r="V559" s="7"/>
    </row>
    <row r="560" spans="10:22" ht="12.75">
      <c r="J560" s="7"/>
      <c r="K560" s="7"/>
      <c r="L560" s="7"/>
      <c r="M560" s="7"/>
      <c r="O560" s="7"/>
      <c r="P560" s="7"/>
      <c r="Q560" s="7"/>
      <c r="S560" s="7"/>
      <c r="U560" s="7"/>
      <c r="V560" s="7"/>
    </row>
    <row r="561" spans="10:22" ht="12.75">
      <c r="J561" s="7"/>
      <c r="K561" s="7"/>
      <c r="L561" s="7"/>
      <c r="M561" s="7"/>
      <c r="O561" s="7"/>
      <c r="P561" s="7"/>
      <c r="Q561" s="7"/>
      <c r="S561" s="7"/>
      <c r="U561" s="7"/>
      <c r="V561" s="7"/>
    </row>
    <row r="562" spans="10:22" ht="12.75">
      <c r="J562" s="7"/>
      <c r="K562" s="7"/>
      <c r="L562" s="7"/>
      <c r="M562" s="7"/>
      <c r="O562" s="7"/>
      <c r="P562" s="7"/>
      <c r="Q562" s="7"/>
      <c r="S562" s="7"/>
      <c r="U562" s="7"/>
      <c r="V562" s="7"/>
    </row>
    <row r="563" spans="10:22" ht="12.75">
      <c r="J563" s="7"/>
      <c r="K563" s="7"/>
      <c r="L563" s="7"/>
      <c r="M563" s="7"/>
      <c r="O563" s="7"/>
      <c r="P563" s="7"/>
      <c r="Q563" s="7"/>
      <c r="S563" s="7"/>
      <c r="U563" s="7"/>
      <c r="V563" s="7"/>
    </row>
    <row r="564" spans="10:22" ht="12.75">
      <c r="J564" s="7"/>
      <c r="K564" s="7"/>
      <c r="L564" s="7"/>
      <c r="M564" s="7"/>
      <c r="O564" s="7"/>
      <c r="P564" s="7"/>
      <c r="Q564" s="7"/>
      <c r="S564" s="7"/>
      <c r="U564" s="7"/>
      <c r="V564" s="7"/>
    </row>
    <row r="565" spans="10:22" ht="12.75">
      <c r="J565" s="7"/>
      <c r="K565" s="7"/>
      <c r="L565" s="7"/>
      <c r="M565" s="7"/>
      <c r="O565" s="7"/>
      <c r="P565" s="7"/>
      <c r="Q565" s="7"/>
      <c r="S565" s="7"/>
      <c r="U565" s="7"/>
      <c r="V565" s="7"/>
    </row>
    <row r="566" spans="10:22" ht="12.75">
      <c r="J566" s="7"/>
      <c r="K566" s="7"/>
      <c r="L566" s="7"/>
      <c r="M566" s="7"/>
      <c r="O566" s="7"/>
      <c r="P566" s="7"/>
      <c r="Q566" s="7"/>
      <c r="S566" s="7"/>
      <c r="U566" s="7"/>
      <c r="V566" s="7"/>
    </row>
    <row r="567" spans="10:22" ht="12.75">
      <c r="J567" s="7"/>
      <c r="K567" s="7"/>
      <c r="L567" s="7"/>
      <c r="M567" s="7"/>
      <c r="O567" s="7"/>
      <c r="P567" s="7"/>
      <c r="Q567" s="7"/>
      <c r="S567" s="7"/>
      <c r="U567" s="7"/>
      <c r="V567" s="7"/>
    </row>
    <row r="568" spans="10:22" ht="12.75">
      <c r="J568" s="7"/>
      <c r="K568" s="7"/>
      <c r="L568" s="7"/>
      <c r="M568" s="7"/>
      <c r="O568" s="7"/>
      <c r="P568" s="7"/>
      <c r="Q568" s="7"/>
      <c r="S568" s="7"/>
      <c r="U568" s="7"/>
      <c r="V568" s="7"/>
    </row>
    <row r="569" spans="10:22" ht="12.75">
      <c r="J569" s="7"/>
      <c r="K569" s="7"/>
      <c r="L569" s="7"/>
      <c r="M569" s="7"/>
      <c r="O569" s="7"/>
      <c r="P569" s="7"/>
      <c r="Q569" s="7"/>
      <c r="S569" s="7"/>
      <c r="U569" s="7"/>
      <c r="V569" s="7"/>
    </row>
    <row r="570" spans="10:22" ht="12.75">
      <c r="J570" s="7"/>
      <c r="K570" s="7"/>
      <c r="L570" s="7"/>
      <c r="M570" s="7"/>
      <c r="O570" s="7"/>
      <c r="P570" s="7"/>
      <c r="Q570" s="7"/>
      <c r="S570" s="7"/>
      <c r="U570" s="7"/>
      <c r="V570" s="7"/>
    </row>
    <row r="571" spans="10:22" ht="12.75">
      <c r="J571" s="7"/>
      <c r="K571" s="7"/>
      <c r="L571" s="7"/>
      <c r="M571" s="7"/>
      <c r="O571" s="7"/>
      <c r="P571" s="7"/>
      <c r="Q571" s="7"/>
      <c r="S571" s="7"/>
      <c r="U571" s="7"/>
      <c r="V571" s="7"/>
    </row>
    <row r="572" spans="10:22" ht="12.75">
      <c r="J572" s="7"/>
      <c r="K572" s="7"/>
      <c r="L572" s="7"/>
      <c r="M572" s="7"/>
      <c r="O572" s="7"/>
      <c r="P572" s="7"/>
      <c r="Q572" s="7"/>
      <c r="S572" s="7"/>
      <c r="U572" s="7"/>
      <c r="V572" s="7"/>
    </row>
    <row r="573" spans="10:22" ht="12.75">
      <c r="J573" s="7"/>
      <c r="K573" s="7"/>
      <c r="L573" s="7"/>
      <c r="M573" s="7"/>
      <c r="O573" s="7"/>
      <c r="P573" s="7"/>
      <c r="Q573" s="7"/>
      <c r="S573" s="7"/>
      <c r="U573" s="7"/>
      <c r="V573" s="7"/>
    </row>
    <row r="574" spans="10:22" ht="12.75">
      <c r="J574" s="7"/>
      <c r="K574" s="7"/>
      <c r="L574" s="7"/>
      <c r="M574" s="7"/>
      <c r="O574" s="7"/>
      <c r="P574" s="7"/>
      <c r="Q574" s="7"/>
      <c r="S574" s="7"/>
      <c r="U574" s="7"/>
      <c r="V574" s="7"/>
    </row>
    <row r="575" spans="10:22" ht="12.75">
      <c r="J575" s="7"/>
      <c r="K575" s="7"/>
      <c r="L575" s="7"/>
      <c r="M575" s="7"/>
      <c r="O575" s="7"/>
      <c r="P575" s="7"/>
      <c r="Q575" s="7"/>
      <c r="S575" s="7"/>
      <c r="U575" s="7"/>
      <c r="V575" s="7"/>
    </row>
    <row r="576" spans="10:22" ht="12.75">
      <c r="J576" s="7"/>
      <c r="K576" s="7"/>
      <c r="L576" s="7"/>
      <c r="M576" s="7"/>
      <c r="O576" s="7"/>
      <c r="P576" s="7"/>
      <c r="Q576" s="7"/>
      <c r="S576" s="7"/>
      <c r="U576" s="7"/>
      <c r="V576" s="7"/>
    </row>
    <row r="577" spans="10:22" ht="12.75">
      <c r="J577" s="7"/>
      <c r="K577" s="7"/>
      <c r="L577" s="7"/>
      <c r="M577" s="7"/>
      <c r="O577" s="7"/>
      <c r="P577" s="7"/>
      <c r="Q577" s="7"/>
      <c r="S577" s="7"/>
      <c r="U577" s="7"/>
      <c r="V577" s="7"/>
    </row>
    <row r="578" spans="10:22" ht="12.75">
      <c r="J578" s="7"/>
      <c r="K578" s="7"/>
      <c r="L578" s="7"/>
      <c r="M578" s="7"/>
      <c r="O578" s="7"/>
      <c r="P578" s="7"/>
      <c r="Q578" s="7"/>
      <c r="S578" s="7"/>
      <c r="U578" s="7"/>
      <c r="V578" s="7"/>
    </row>
    <row r="579" spans="10:22" ht="12.75">
      <c r="J579" s="7"/>
      <c r="K579" s="7"/>
      <c r="L579" s="7"/>
      <c r="M579" s="7"/>
      <c r="O579" s="7"/>
      <c r="P579" s="7"/>
      <c r="Q579" s="7"/>
      <c r="S579" s="7"/>
      <c r="U579" s="7"/>
      <c r="V579" s="7"/>
    </row>
    <row r="580" spans="10:22" ht="12.75">
      <c r="J580" s="7"/>
      <c r="K580" s="7"/>
      <c r="L580" s="7"/>
      <c r="M580" s="7"/>
      <c r="O580" s="7"/>
      <c r="P580" s="7"/>
      <c r="Q580" s="7"/>
      <c r="S580" s="7"/>
      <c r="U580" s="7"/>
      <c r="V580" s="7"/>
    </row>
    <row r="581" spans="10:22" ht="12.75">
      <c r="J581" s="7"/>
      <c r="K581" s="7"/>
      <c r="L581" s="7"/>
      <c r="M581" s="7"/>
      <c r="O581" s="7"/>
      <c r="P581" s="7"/>
      <c r="Q581" s="7"/>
      <c r="S581" s="7"/>
      <c r="U581" s="7"/>
      <c r="V581" s="7"/>
    </row>
    <row r="582" spans="10:22" ht="12.75">
      <c r="J582" s="7"/>
      <c r="K582" s="7"/>
      <c r="L582" s="7"/>
      <c r="M582" s="7"/>
      <c r="O582" s="7"/>
      <c r="P582" s="7"/>
      <c r="Q582" s="7"/>
      <c r="S582" s="7"/>
      <c r="U582" s="7"/>
      <c r="V582" s="7"/>
    </row>
    <row r="583" spans="10:22" ht="12.75">
      <c r="J583" s="7"/>
      <c r="K583" s="7"/>
      <c r="L583" s="7"/>
      <c r="M583" s="7"/>
      <c r="O583" s="7"/>
      <c r="P583" s="7"/>
      <c r="Q583" s="7"/>
      <c r="S583" s="7"/>
      <c r="U583" s="7"/>
      <c r="V583" s="7"/>
    </row>
    <row r="584" spans="10:22" ht="12.75">
      <c r="J584" s="7"/>
      <c r="K584" s="7"/>
      <c r="L584" s="7"/>
      <c r="M584" s="7"/>
      <c r="O584" s="7"/>
      <c r="P584" s="7"/>
      <c r="Q584" s="7"/>
      <c r="S584" s="7"/>
      <c r="U584" s="7"/>
      <c r="V584" s="7"/>
    </row>
    <row r="585" spans="10:22" ht="12.75">
      <c r="J585" s="7"/>
      <c r="K585" s="7"/>
      <c r="L585" s="7"/>
      <c r="M585" s="7"/>
      <c r="O585" s="7"/>
      <c r="P585" s="7"/>
      <c r="Q585" s="7"/>
      <c r="S585" s="7"/>
      <c r="U585" s="7"/>
      <c r="V585" s="7"/>
    </row>
    <row r="586" spans="10:22" ht="12.75">
      <c r="J586" s="7"/>
      <c r="K586" s="7"/>
      <c r="L586" s="7"/>
      <c r="M586" s="7"/>
      <c r="O586" s="7"/>
      <c r="P586" s="7"/>
      <c r="Q586" s="7"/>
      <c r="S586" s="7"/>
      <c r="U586" s="7"/>
      <c r="V586" s="7"/>
    </row>
    <row r="587" spans="10:22" ht="12.75">
      <c r="J587" s="7"/>
      <c r="K587" s="7"/>
      <c r="L587" s="7"/>
      <c r="M587" s="7"/>
      <c r="O587" s="7"/>
      <c r="P587" s="7"/>
      <c r="Q587" s="7"/>
      <c r="S587" s="7"/>
      <c r="U587" s="7"/>
      <c r="V587" s="7"/>
    </row>
    <row r="588" spans="10:22" ht="12.75">
      <c r="J588" s="7"/>
      <c r="K588" s="7"/>
      <c r="L588" s="7"/>
      <c r="M588" s="7"/>
      <c r="O588" s="7"/>
      <c r="P588" s="7"/>
      <c r="Q588" s="7"/>
      <c r="S588" s="7"/>
      <c r="U588" s="7"/>
      <c r="V588" s="7"/>
    </row>
    <row r="589" spans="10:22" ht="12.75">
      <c r="J589" s="7"/>
      <c r="K589" s="7"/>
      <c r="L589" s="7"/>
      <c r="M589" s="7"/>
      <c r="O589" s="7"/>
      <c r="P589" s="7"/>
      <c r="Q589" s="7"/>
      <c r="S589" s="7"/>
      <c r="U589" s="7"/>
      <c r="V589" s="7"/>
    </row>
    <row r="590" spans="10:22" ht="12.75">
      <c r="J590" s="7"/>
      <c r="K590" s="7"/>
      <c r="L590" s="7"/>
      <c r="M590" s="7"/>
      <c r="O590" s="7"/>
      <c r="P590" s="7"/>
      <c r="Q590" s="7"/>
      <c r="S590" s="7"/>
      <c r="U590" s="7"/>
      <c r="V590" s="7"/>
    </row>
    <row r="591" spans="10:22" ht="12.75">
      <c r="J591" s="7"/>
      <c r="K591" s="7"/>
      <c r="L591" s="7"/>
      <c r="M591" s="7"/>
      <c r="O591" s="7"/>
      <c r="P591" s="7"/>
      <c r="Q591" s="7"/>
      <c r="S591" s="7"/>
      <c r="U591" s="7"/>
      <c r="V591" s="7"/>
    </row>
    <row r="592" spans="10:22" ht="12.75">
      <c r="J592" s="7"/>
      <c r="K592" s="7"/>
      <c r="L592" s="7"/>
      <c r="M592" s="7"/>
      <c r="O592" s="7"/>
      <c r="P592" s="7"/>
      <c r="Q592" s="7"/>
      <c r="S592" s="7"/>
      <c r="U592" s="7"/>
      <c r="V592" s="7"/>
    </row>
    <row r="593" spans="10:22" ht="12.75">
      <c r="J593" s="7"/>
      <c r="K593" s="7"/>
      <c r="L593" s="7"/>
      <c r="M593" s="7"/>
      <c r="O593" s="7"/>
      <c r="P593" s="7"/>
      <c r="Q593" s="7"/>
      <c r="S593" s="7"/>
      <c r="U593" s="7"/>
      <c r="V593" s="7"/>
    </row>
    <row r="594" spans="10:22" ht="12.75">
      <c r="J594" s="7"/>
      <c r="K594" s="7"/>
      <c r="L594" s="7"/>
      <c r="M594" s="7"/>
      <c r="O594" s="7"/>
      <c r="P594" s="7"/>
      <c r="Q594" s="7"/>
      <c r="S594" s="7"/>
      <c r="U594" s="7"/>
      <c r="V594" s="7"/>
    </row>
    <row r="595" spans="10:22" ht="12.75">
      <c r="J595" s="7"/>
      <c r="K595" s="7"/>
      <c r="L595" s="7"/>
      <c r="M595" s="7"/>
      <c r="O595" s="7"/>
      <c r="P595" s="7"/>
      <c r="Q595" s="7"/>
      <c r="S595" s="7"/>
      <c r="U595" s="7"/>
      <c r="V595" s="7"/>
    </row>
    <row r="596" spans="10:22" ht="12.75">
      <c r="J596" s="7"/>
      <c r="K596" s="7"/>
      <c r="L596" s="7"/>
      <c r="M596" s="7"/>
      <c r="O596" s="7"/>
      <c r="P596" s="7"/>
      <c r="Q596" s="7"/>
      <c r="S596" s="7"/>
      <c r="U596" s="7"/>
      <c r="V596" s="7"/>
    </row>
    <row r="597" spans="10:22" ht="12.75">
      <c r="J597" s="7"/>
      <c r="K597" s="7"/>
      <c r="L597" s="7"/>
      <c r="M597" s="7"/>
      <c r="O597" s="7"/>
      <c r="P597" s="7"/>
      <c r="Q597" s="7"/>
      <c r="S597" s="7"/>
      <c r="U597" s="7"/>
      <c r="V597" s="7"/>
    </row>
    <row r="598" spans="10:22" ht="12.75">
      <c r="J598" s="7"/>
      <c r="K598" s="7"/>
      <c r="L598" s="7"/>
      <c r="M598" s="7"/>
      <c r="O598" s="7"/>
      <c r="P598" s="7"/>
      <c r="Q598" s="7"/>
      <c r="S598" s="7"/>
      <c r="U598" s="7"/>
      <c r="V598" s="7"/>
    </row>
    <row r="599" spans="10:22" ht="12.75">
      <c r="J599" s="7"/>
      <c r="K599" s="7"/>
      <c r="L599" s="7"/>
      <c r="M599" s="7"/>
      <c r="O599" s="7"/>
      <c r="P599" s="7"/>
      <c r="Q599" s="7"/>
      <c r="S599" s="7"/>
      <c r="U599" s="7"/>
      <c r="V599" s="7"/>
    </row>
    <row r="600" spans="10:22" ht="12.75">
      <c r="J600" s="7"/>
      <c r="K600" s="7"/>
      <c r="L600" s="7"/>
      <c r="M600" s="7"/>
      <c r="O600" s="7"/>
      <c r="P600" s="7"/>
      <c r="Q600" s="7"/>
      <c r="S600" s="7"/>
      <c r="U600" s="7"/>
      <c r="V600" s="7"/>
    </row>
    <row r="601" spans="10:22" ht="12.75">
      <c r="J601" s="7"/>
      <c r="K601" s="7"/>
      <c r="L601" s="7"/>
      <c r="M601" s="7"/>
      <c r="O601" s="7"/>
      <c r="P601" s="7"/>
      <c r="Q601" s="7"/>
      <c r="S601" s="7"/>
      <c r="U601" s="7"/>
      <c r="V601" s="7"/>
    </row>
    <row r="602" spans="10:22" ht="12.75">
      <c r="J602" s="7"/>
      <c r="K602" s="7"/>
      <c r="L602" s="7"/>
      <c r="M602" s="7"/>
      <c r="O602" s="7"/>
      <c r="P602" s="7"/>
      <c r="Q602" s="7"/>
      <c r="S602" s="7"/>
      <c r="U602" s="7"/>
      <c r="V602" s="7"/>
    </row>
    <row r="603" spans="10:22" ht="12.75">
      <c r="J603" s="7"/>
      <c r="K603" s="7"/>
      <c r="L603" s="7"/>
      <c r="M603" s="7"/>
      <c r="O603" s="7"/>
      <c r="P603" s="7"/>
      <c r="Q603" s="7"/>
      <c r="S603" s="7"/>
      <c r="U603" s="7"/>
      <c r="V603" s="7"/>
    </row>
    <row r="604" spans="10:22" ht="12.75">
      <c r="J604" s="7"/>
      <c r="K604" s="7"/>
      <c r="L604" s="7"/>
      <c r="M604" s="7"/>
      <c r="O604" s="7"/>
      <c r="P604" s="7"/>
      <c r="Q604" s="7"/>
      <c r="S604" s="7"/>
      <c r="U604" s="7"/>
      <c r="V604" s="7"/>
    </row>
    <row r="605" spans="10:22" ht="12.75">
      <c r="J605" s="7"/>
      <c r="K605" s="7"/>
      <c r="L605" s="7"/>
      <c r="M605" s="7"/>
      <c r="O605" s="7"/>
      <c r="P605" s="7"/>
      <c r="Q605" s="7"/>
      <c r="S605" s="7"/>
      <c r="U605" s="7"/>
      <c r="V605" s="7"/>
    </row>
    <row r="606" spans="10:22" ht="12.75">
      <c r="J606" s="7"/>
      <c r="K606" s="7"/>
      <c r="L606" s="7"/>
      <c r="M606" s="7"/>
      <c r="O606" s="7"/>
      <c r="P606" s="7"/>
      <c r="Q606" s="7"/>
      <c r="S606" s="7"/>
      <c r="U606" s="7"/>
      <c r="V606" s="7"/>
    </row>
    <row r="607" spans="10:22" ht="12.75">
      <c r="J607" s="7"/>
      <c r="K607" s="7"/>
      <c r="L607" s="7"/>
      <c r="M607" s="7"/>
      <c r="O607" s="7"/>
      <c r="P607" s="7"/>
      <c r="Q607" s="7"/>
      <c r="S607" s="7"/>
      <c r="U607" s="7"/>
      <c r="V607" s="7"/>
    </row>
    <row r="608" spans="10:22" ht="12.75">
      <c r="J608" s="7"/>
      <c r="K608" s="7"/>
      <c r="L608" s="7"/>
      <c r="M608" s="7"/>
      <c r="O608" s="7"/>
      <c r="P608" s="7"/>
      <c r="Q608" s="7"/>
      <c r="S608" s="7"/>
      <c r="U608" s="7"/>
      <c r="V608" s="7"/>
    </row>
    <row r="609" spans="10:22" ht="12.75">
      <c r="J609" s="7"/>
      <c r="K609" s="7"/>
      <c r="L609" s="7"/>
      <c r="M609" s="7"/>
      <c r="O609" s="7"/>
      <c r="P609" s="7"/>
      <c r="Q609" s="7"/>
      <c r="S609" s="7"/>
      <c r="U609" s="7"/>
      <c r="V609" s="7"/>
    </row>
    <row r="610" spans="10:22" ht="12.75">
      <c r="J610" s="7"/>
      <c r="K610" s="7"/>
      <c r="L610" s="7"/>
      <c r="M610" s="7"/>
      <c r="O610" s="7"/>
      <c r="P610" s="7"/>
      <c r="Q610" s="7"/>
      <c r="S610" s="7"/>
      <c r="U610" s="7"/>
      <c r="V610" s="7"/>
    </row>
    <row r="611" spans="10:22" ht="12.75">
      <c r="J611" s="7"/>
      <c r="K611" s="7"/>
      <c r="L611" s="7"/>
      <c r="M611" s="7"/>
      <c r="O611" s="7"/>
      <c r="P611" s="7"/>
      <c r="Q611" s="7"/>
      <c r="S611" s="7"/>
      <c r="U611" s="7"/>
      <c r="V611" s="7"/>
    </row>
    <row r="612" spans="10:22" ht="12.75">
      <c r="J612" s="7"/>
      <c r="K612" s="7"/>
      <c r="L612" s="7"/>
      <c r="M612" s="7"/>
      <c r="O612" s="7"/>
      <c r="P612" s="7"/>
      <c r="Q612" s="7"/>
      <c r="S612" s="7"/>
      <c r="U612" s="7"/>
      <c r="V612" s="7"/>
    </row>
    <row r="613" spans="10:22" ht="12.75">
      <c r="J613" s="7"/>
      <c r="K613" s="7"/>
      <c r="L613" s="7"/>
      <c r="M613" s="7"/>
      <c r="O613" s="7"/>
      <c r="P613" s="7"/>
      <c r="Q613" s="7"/>
      <c r="S613" s="7"/>
      <c r="U613" s="7"/>
      <c r="V613" s="7"/>
    </row>
    <row r="614" spans="10:22" ht="12.75">
      <c r="J614" s="7"/>
      <c r="K614" s="7"/>
      <c r="L614" s="7"/>
      <c r="M614" s="7"/>
      <c r="O614" s="7"/>
      <c r="P614" s="7"/>
      <c r="Q614" s="7"/>
      <c r="S614" s="7"/>
      <c r="U614" s="7"/>
      <c r="V614" s="7"/>
    </row>
    <row r="615" spans="10:22" ht="12.75">
      <c r="J615" s="7"/>
      <c r="K615" s="7"/>
      <c r="L615" s="7"/>
      <c r="M615" s="7"/>
      <c r="O615" s="7"/>
      <c r="P615" s="7"/>
      <c r="Q615" s="7"/>
      <c r="S615" s="7"/>
      <c r="U615" s="7"/>
      <c r="V615" s="7"/>
    </row>
    <row r="616" spans="10:22" ht="12.75">
      <c r="J616" s="7"/>
      <c r="K616" s="7"/>
      <c r="L616" s="7"/>
      <c r="M616" s="7"/>
      <c r="O616" s="7"/>
      <c r="P616" s="7"/>
      <c r="Q616" s="7"/>
      <c r="S616" s="7"/>
      <c r="U616" s="7"/>
      <c r="V616" s="7"/>
    </row>
    <row r="617" spans="10:22" ht="12.75">
      <c r="J617" s="7"/>
      <c r="K617" s="7"/>
      <c r="L617" s="7"/>
      <c r="M617" s="7"/>
      <c r="O617" s="7"/>
      <c r="P617" s="7"/>
      <c r="Q617" s="7"/>
      <c r="S617" s="7"/>
      <c r="U617" s="7"/>
      <c r="V617" s="7"/>
    </row>
    <row r="618" spans="10:22" ht="12.75">
      <c r="J618" s="7"/>
      <c r="K618" s="7"/>
      <c r="L618" s="7"/>
      <c r="M618" s="7"/>
      <c r="O618" s="7"/>
      <c r="P618" s="7"/>
      <c r="Q618" s="7"/>
      <c r="S618" s="7"/>
      <c r="U618" s="7"/>
      <c r="V618" s="7"/>
    </row>
    <row r="619" spans="10:22" ht="12.75">
      <c r="J619" s="7"/>
      <c r="K619" s="7"/>
      <c r="L619" s="7"/>
      <c r="M619" s="7"/>
      <c r="O619" s="7"/>
      <c r="P619" s="7"/>
      <c r="Q619" s="7"/>
      <c r="S619" s="7"/>
      <c r="U619" s="7"/>
      <c r="V619" s="7"/>
    </row>
    <row r="620" spans="10:22" ht="12.75">
      <c r="J620" s="7"/>
      <c r="K620" s="7"/>
      <c r="L620" s="7"/>
      <c r="M620" s="7"/>
      <c r="O620" s="7"/>
      <c r="P620" s="7"/>
      <c r="Q620" s="7"/>
      <c r="S620" s="7"/>
      <c r="U620" s="7"/>
      <c r="V620" s="7"/>
    </row>
    <row r="621" spans="10:22" ht="12.75">
      <c r="J621" s="7"/>
      <c r="K621" s="7"/>
      <c r="L621" s="7"/>
      <c r="M621" s="7"/>
      <c r="O621" s="7"/>
      <c r="P621" s="7"/>
      <c r="Q621" s="7"/>
      <c r="S621" s="7"/>
      <c r="U621" s="7"/>
      <c r="V621" s="7"/>
    </row>
    <row r="622" spans="10:22" ht="12.75">
      <c r="J622" s="7"/>
      <c r="K622" s="7"/>
      <c r="L622" s="7"/>
      <c r="M622" s="7"/>
      <c r="O622" s="7"/>
      <c r="P622" s="7"/>
      <c r="Q622" s="7"/>
      <c r="S622" s="7"/>
      <c r="U622" s="7"/>
      <c r="V622" s="7"/>
    </row>
    <row r="623" spans="10:22" ht="12.75">
      <c r="J623" s="7"/>
      <c r="K623" s="7"/>
      <c r="L623" s="7"/>
      <c r="M623" s="7"/>
      <c r="O623" s="7"/>
      <c r="P623" s="7"/>
      <c r="Q623" s="7"/>
      <c r="S623" s="7"/>
      <c r="U623" s="7"/>
      <c r="V623" s="7"/>
    </row>
    <row r="624" spans="10:22" ht="12.75">
      <c r="J624" s="7"/>
      <c r="K624" s="7"/>
      <c r="L624" s="7"/>
      <c r="M624" s="7"/>
      <c r="O624" s="7"/>
      <c r="P624" s="7"/>
      <c r="Q624" s="7"/>
      <c r="S624" s="7"/>
      <c r="U624" s="7"/>
      <c r="V624" s="7"/>
    </row>
    <row r="625" spans="10:22" ht="12.75">
      <c r="J625" s="7"/>
      <c r="K625" s="7"/>
      <c r="L625" s="7"/>
      <c r="M625" s="7"/>
      <c r="O625" s="7"/>
      <c r="P625" s="7"/>
      <c r="Q625" s="7"/>
      <c r="S625" s="7"/>
      <c r="U625" s="7"/>
      <c r="V625" s="7"/>
    </row>
    <row r="626" spans="10:22" ht="12.75">
      <c r="J626" s="7"/>
      <c r="K626" s="7"/>
      <c r="L626" s="7"/>
      <c r="M626" s="7"/>
      <c r="O626" s="7"/>
      <c r="P626" s="7"/>
      <c r="Q626" s="7"/>
      <c r="S626" s="7"/>
      <c r="U626" s="7"/>
      <c r="V626" s="7"/>
    </row>
    <row r="627" spans="10:22" ht="12.75">
      <c r="J627" s="7"/>
      <c r="K627" s="7"/>
      <c r="L627" s="7"/>
      <c r="M627" s="7"/>
      <c r="O627" s="7"/>
      <c r="P627" s="7"/>
      <c r="Q627" s="7"/>
      <c r="S627" s="7"/>
      <c r="U627" s="7"/>
      <c r="V627" s="7"/>
    </row>
    <row r="628" spans="10:22" ht="12.75">
      <c r="J628" s="7"/>
      <c r="K628" s="7"/>
      <c r="L628" s="7"/>
      <c r="M628" s="7"/>
      <c r="O628" s="7"/>
      <c r="P628" s="7"/>
      <c r="Q628" s="7"/>
      <c r="S628" s="7"/>
      <c r="U628" s="7"/>
      <c r="V628" s="7"/>
    </row>
    <row r="629" spans="10:22" ht="12.75">
      <c r="J629" s="7"/>
      <c r="K629" s="7"/>
      <c r="L629" s="7"/>
      <c r="M629" s="7"/>
      <c r="O629" s="7"/>
      <c r="P629" s="7"/>
      <c r="Q629" s="7"/>
      <c r="S629" s="7"/>
      <c r="U629" s="7"/>
      <c r="V629" s="7"/>
    </row>
    <row r="630" spans="10:22" ht="12.75">
      <c r="J630" s="7"/>
      <c r="K630" s="7"/>
      <c r="L630" s="7"/>
      <c r="M630" s="7"/>
      <c r="O630" s="7"/>
      <c r="P630" s="7"/>
      <c r="Q630" s="7"/>
      <c r="S630" s="7"/>
      <c r="U630" s="7"/>
      <c r="V630" s="7"/>
    </row>
    <row r="631" spans="10:22" ht="12.75">
      <c r="J631" s="7"/>
      <c r="K631" s="7"/>
      <c r="L631" s="7"/>
      <c r="M631" s="7"/>
      <c r="O631" s="7"/>
      <c r="P631" s="7"/>
      <c r="Q631" s="7"/>
      <c r="S631" s="7"/>
      <c r="U631" s="7"/>
      <c r="V631" s="7"/>
    </row>
    <row r="632" spans="10:22" ht="12.75">
      <c r="J632" s="7"/>
      <c r="K632" s="7"/>
      <c r="L632" s="7"/>
      <c r="M632" s="7"/>
      <c r="O632" s="7"/>
      <c r="P632" s="7"/>
      <c r="Q632" s="7"/>
      <c r="S632" s="7"/>
      <c r="U632" s="7"/>
      <c r="V632" s="7"/>
    </row>
    <row r="633" spans="10:22" ht="12.75">
      <c r="J633" s="7"/>
      <c r="K633" s="7"/>
      <c r="L633" s="7"/>
      <c r="M633" s="7"/>
      <c r="O633" s="7"/>
      <c r="P633" s="7"/>
      <c r="Q633" s="7"/>
      <c r="S633" s="7"/>
      <c r="U633" s="7"/>
      <c r="V633" s="7"/>
    </row>
    <row r="634" spans="10:22" ht="12.75">
      <c r="J634" s="7"/>
      <c r="K634" s="7"/>
      <c r="L634" s="7"/>
      <c r="M634" s="7"/>
      <c r="O634" s="7"/>
      <c r="P634" s="7"/>
      <c r="Q634" s="7"/>
      <c r="S634" s="7"/>
      <c r="U634" s="7"/>
      <c r="V634" s="7"/>
    </row>
    <row r="635" spans="10:22" ht="12.75">
      <c r="J635" s="7"/>
      <c r="K635" s="7"/>
      <c r="L635" s="7"/>
      <c r="M635" s="7"/>
      <c r="O635" s="7"/>
      <c r="P635" s="7"/>
      <c r="Q635" s="7"/>
      <c r="S635" s="7"/>
      <c r="U635" s="7"/>
      <c r="V635" s="7"/>
    </row>
    <row r="636" spans="10:22" ht="12.75">
      <c r="J636" s="7"/>
      <c r="K636" s="7"/>
      <c r="L636" s="7"/>
      <c r="M636" s="7"/>
      <c r="O636" s="7"/>
      <c r="P636" s="7"/>
      <c r="Q636" s="7"/>
      <c r="S636" s="7"/>
      <c r="U636" s="7"/>
      <c r="V636" s="7"/>
    </row>
    <row r="637" spans="10:22" ht="12.75">
      <c r="J637" s="7"/>
      <c r="K637" s="7"/>
      <c r="L637" s="7"/>
      <c r="M637" s="7"/>
      <c r="O637" s="7"/>
      <c r="P637" s="7"/>
      <c r="Q637" s="7"/>
      <c r="S637" s="7"/>
      <c r="U637" s="7"/>
      <c r="V637" s="7"/>
    </row>
    <row r="638" spans="10:22" ht="12.75">
      <c r="J638" s="7"/>
      <c r="K638" s="7"/>
      <c r="L638" s="7"/>
      <c r="M638" s="7"/>
      <c r="O638" s="7"/>
      <c r="P638" s="7"/>
      <c r="Q638" s="7"/>
      <c r="S638" s="7"/>
      <c r="U638" s="7"/>
      <c r="V638" s="7"/>
    </row>
    <row r="639" spans="10:22" ht="12.75">
      <c r="J639" s="7"/>
      <c r="K639" s="7"/>
      <c r="L639" s="7"/>
      <c r="M639" s="7"/>
      <c r="O639" s="7"/>
      <c r="P639" s="7"/>
      <c r="Q639" s="7"/>
      <c r="S639" s="7"/>
      <c r="U639" s="7"/>
      <c r="V639" s="7"/>
    </row>
    <row r="640" spans="10:22" ht="12.75">
      <c r="J640" s="7"/>
      <c r="K640" s="7"/>
      <c r="L640" s="7"/>
      <c r="M640" s="7"/>
      <c r="O640" s="7"/>
      <c r="P640" s="7"/>
      <c r="Q640" s="7"/>
      <c r="S640" s="7"/>
      <c r="U640" s="7"/>
      <c r="V640" s="7"/>
    </row>
    <row r="641" spans="10:22" ht="12.75">
      <c r="J641" s="7"/>
      <c r="K641" s="7"/>
      <c r="L641" s="7"/>
      <c r="M641" s="7"/>
      <c r="O641" s="7"/>
      <c r="P641" s="7"/>
      <c r="Q641" s="7"/>
      <c r="S641" s="7"/>
      <c r="U641" s="7"/>
      <c r="V641" s="7"/>
    </row>
    <row r="642" spans="10:22" ht="12.75">
      <c r="J642" s="7"/>
      <c r="K642" s="7"/>
      <c r="L642" s="7"/>
      <c r="M642" s="7"/>
      <c r="O642" s="7"/>
      <c r="P642" s="7"/>
      <c r="Q642" s="7"/>
      <c r="S642" s="7"/>
      <c r="U642" s="7"/>
      <c r="V642" s="7"/>
    </row>
    <row r="643" spans="10:22" ht="12.75">
      <c r="J643" s="7"/>
      <c r="K643" s="7"/>
      <c r="L643" s="7"/>
      <c r="M643" s="7"/>
      <c r="O643" s="7"/>
      <c r="P643" s="7"/>
      <c r="Q643" s="7"/>
      <c r="S643" s="7"/>
      <c r="U643" s="7"/>
      <c r="V643" s="7"/>
    </row>
    <row r="644" spans="10:22" ht="12.75">
      <c r="J644" s="7"/>
      <c r="K644" s="7"/>
      <c r="L644" s="7"/>
      <c r="M644" s="7"/>
      <c r="O644" s="7"/>
      <c r="P644" s="7"/>
      <c r="Q644" s="7"/>
      <c r="S644" s="7"/>
      <c r="U644" s="7"/>
      <c r="V644" s="7"/>
    </row>
    <row r="645" spans="10:22" ht="12.75">
      <c r="J645" s="7"/>
      <c r="K645" s="7"/>
      <c r="L645" s="7"/>
      <c r="M645" s="7"/>
      <c r="O645" s="7"/>
      <c r="P645" s="7"/>
      <c r="Q645" s="7"/>
      <c r="S645" s="7"/>
      <c r="U645" s="7"/>
      <c r="V645" s="7"/>
    </row>
    <row r="646" spans="10:22" ht="12.75">
      <c r="J646" s="7"/>
      <c r="K646" s="7"/>
      <c r="L646" s="7"/>
      <c r="M646" s="7"/>
      <c r="O646" s="7"/>
      <c r="P646" s="7"/>
      <c r="Q646" s="7"/>
      <c r="S646" s="7"/>
      <c r="U646" s="7"/>
      <c r="V646" s="7"/>
    </row>
    <row r="647" spans="10:22" ht="12.75">
      <c r="J647" s="7"/>
      <c r="K647" s="7"/>
      <c r="L647" s="7"/>
      <c r="M647" s="7"/>
      <c r="O647" s="7"/>
      <c r="P647" s="7"/>
      <c r="Q647" s="7"/>
      <c r="S647" s="7"/>
      <c r="U647" s="7"/>
      <c r="V647" s="7"/>
    </row>
    <row r="648" spans="10:22" ht="12.75">
      <c r="J648" s="7"/>
      <c r="K648" s="7"/>
      <c r="L648" s="7"/>
      <c r="M648" s="7"/>
      <c r="O648" s="7"/>
      <c r="P648" s="7"/>
      <c r="Q648" s="7"/>
      <c r="S648" s="7"/>
      <c r="U648" s="7"/>
      <c r="V648" s="7"/>
    </row>
    <row r="649" spans="10:22" ht="12.75">
      <c r="J649" s="7"/>
      <c r="K649" s="7"/>
      <c r="L649" s="7"/>
      <c r="M649" s="7"/>
      <c r="O649" s="7"/>
      <c r="P649" s="7"/>
      <c r="Q649" s="7"/>
      <c r="S649" s="7"/>
      <c r="U649" s="7"/>
      <c r="V649" s="7"/>
    </row>
    <row r="650" spans="10:22" ht="12.75">
      <c r="J650" s="7"/>
      <c r="K650" s="7"/>
      <c r="L650" s="7"/>
      <c r="M650" s="7"/>
      <c r="O650" s="7"/>
      <c r="P650" s="7"/>
      <c r="Q650" s="7"/>
      <c r="S650" s="7"/>
      <c r="U650" s="7"/>
      <c r="V650" s="7"/>
    </row>
    <row r="651" spans="10:22" ht="12.75">
      <c r="J651" s="7"/>
      <c r="K651" s="7"/>
      <c r="L651" s="7"/>
      <c r="M651" s="7"/>
      <c r="O651" s="7"/>
      <c r="P651" s="7"/>
      <c r="Q651" s="7"/>
      <c r="S651" s="7"/>
      <c r="U651" s="7"/>
      <c r="V651" s="7"/>
    </row>
    <row r="652" spans="10:22" ht="12.75">
      <c r="J652" s="7"/>
      <c r="K652" s="7"/>
      <c r="L652" s="7"/>
      <c r="M652" s="7"/>
      <c r="O652" s="7"/>
      <c r="P652" s="7"/>
      <c r="Q652" s="7"/>
      <c r="S652" s="7"/>
      <c r="U652" s="7"/>
      <c r="V652" s="7"/>
    </row>
    <row r="653" spans="10:22" ht="12.75">
      <c r="J653" s="7"/>
      <c r="K653" s="7"/>
      <c r="L653" s="7"/>
      <c r="M653" s="7"/>
      <c r="O653" s="7"/>
      <c r="P653" s="7"/>
      <c r="Q653" s="7"/>
      <c r="S653" s="7"/>
      <c r="U653" s="7"/>
      <c r="V653" s="7"/>
    </row>
    <row r="654" spans="10:22" ht="12.75">
      <c r="J654" s="7"/>
      <c r="K654" s="7"/>
      <c r="L654" s="7"/>
      <c r="M654" s="7"/>
      <c r="O654" s="7"/>
      <c r="P654" s="7"/>
      <c r="Q654" s="7"/>
      <c r="S654" s="7"/>
      <c r="U654" s="7"/>
      <c r="V654" s="7"/>
    </row>
    <row r="655" spans="10:22" ht="12.75">
      <c r="J655" s="7"/>
      <c r="K655" s="7"/>
      <c r="L655" s="7"/>
      <c r="M655" s="7"/>
      <c r="O655" s="7"/>
      <c r="P655" s="7"/>
      <c r="Q655" s="7"/>
      <c r="S655" s="7"/>
      <c r="U655" s="7"/>
      <c r="V655" s="7"/>
    </row>
    <row r="656" spans="10:22" ht="12.75">
      <c r="J656" s="7"/>
      <c r="K656" s="7"/>
      <c r="L656" s="7"/>
      <c r="M656" s="7"/>
      <c r="O656" s="7"/>
      <c r="P656" s="7"/>
      <c r="Q656" s="7"/>
      <c r="S656" s="7"/>
      <c r="U656" s="7"/>
      <c r="V656" s="7"/>
    </row>
    <row r="657" spans="10:22" ht="12.75">
      <c r="J657" s="7"/>
      <c r="K657" s="7"/>
      <c r="L657" s="7"/>
      <c r="M657" s="7"/>
      <c r="O657" s="7"/>
      <c r="P657" s="7"/>
      <c r="Q657" s="7"/>
      <c r="S657" s="7"/>
      <c r="U657" s="7"/>
      <c r="V657" s="7"/>
    </row>
    <row r="658" spans="10:22" ht="12.75">
      <c r="J658" s="7"/>
      <c r="K658" s="7"/>
      <c r="L658" s="7"/>
      <c r="M658" s="7"/>
      <c r="O658" s="7"/>
      <c r="P658" s="7"/>
      <c r="Q658" s="7"/>
      <c r="S658" s="7"/>
      <c r="U658" s="7"/>
      <c r="V658" s="7"/>
    </row>
    <row r="659" spans="10:22" ht="12.75">
      <c r="J659" s="7"/>
      <c r="K659" s="7"/>
      <c r="L659" s="7"/>
      <c r="M659" s="7"/>
      <c r="O659" s="7"/>
      <c r="P659" s="7"/>
      <c r="Q659" s="7"/>
      <c r="S659" s="7"/>
      <c r="U659" s="7"/>
      <c r="V659" s="7"/>
    </row>
    <row r="660" spans="10:22" ht="12.75">
      <c r="J660" s="7"/>
      <c r="K660" s="7"/>
      <c r="L660" s="7"/>
      <c r="M660" s="7"/>
      <c r="O660" s="7"/>
      <c r="P660" s="7"/>
      <c r="Q660" s="7"/>
      <c r="S660" s="7"/>
      <c r="U660" s="7"/>
      <c r="V660" s="7"/>
    </row>
    <row r="661" spans="10:22" ht="12.75">
      <c r="J661" s="7"/>
      <c r="K661" s="7"/>
      <c r="L661" s="7"/>
      <c r="M661" s="7"/>
      <c r="O661" s="7"/>
      <c r="P661" s="7"/>
      <c r="Q661" s="7"/>
      <c r="S661" s="7"/>
      <c r="U661" s="7"/>
      <c r="V661" s="7"/>
    </row>
    <row r="662" spans="10:22" ht="12.75">
      <c r="J662" s="7"/>
      <c r="K662" s="7"/>
      <c r="L662" s="7"/>
      <c r="M662" s="7"/>
      <c r="O662" s="7"/>
      <c r="P662" s="7"/>
      <c r="Q662" s="7"/>
      <c r="S662" s="7"/>
      <c r="U662" s="7"/>
      <c r="V662" s="7"/>
    </row>
    <row r="663" spans="10:22" ht="12.75">
      <c r="J663" s="7"/>
      <c r="K663" s="7"/>
      <c r="L663" s="7"/>
      <c r="M663" s="7"/>
      <c r="O663" s="7"/>
      <c r="P663" s="7"/>
      <c r="Q663" s="7"/>
      <c r="S663" s="7"/>
      <c r="U663" s="7"/>
      <c r="V663" s="7"/>
    </row>
    <row r="664" spans="10:22" ht="12.75">
      <c r="J664" s="7"/>
      <c r="K664" s="7"/>
      <c r="L664" s="7"/>
      <c r="M664" s="7"/>
      <c r="O664" s="7"/>
      <c r="P664" s="7"/>
      <c r="Q664" s="7"/>
      <c r="S664" s="7"/>
      <c r="U664" s="7"/>
      <c r="V664" s="7"/>
    </row>
    <row r="665" spans="10:22" ht="12.75">
      <c r="J665" s="7"/>
      <c r="K665" s="7"/>
      <c r="L665" s="7"/>
      <c r="M665" s="7"/>
      <c r="O665" s="7"/>
      <c r="P665" s="7"/>
      <c r="Q665" s="7"/>
      <c r="S665" s="7"/>
      <c r="U665" s="7"/>
      <c r="V665" s="7"/>
    </row>
    <row r="666" spans="10:22" ht="12.75">
      <c r="J666" s="7"/>
      <c r="K666" s="7"/>
      <c r="L666" s="7"/>
      <c r="M666" s="7"/>
      <c r="O666" s="7"/>
      <c r="P666" s="7"/>
      <c r="Q666" s="7"/>
      <c r="S666" s="7"/>
      <c r="U666" s="7"/>
      <c r="V666" s="7"/>
    </row>
    <row r="667" spans="10:22" ht="12.75">
      <c r="J667" s="7"/>
      <c r="K667" s="7"/>
      <c r="L667" s="7"/>
      <c r="M667" s="7"/>
      <c r="O667" s="7"/>
      <c r="P667" s="7"/>
      <c r="Q667" s="7"/>
      <c r="S667" s="7"/>
      <c r="U667" s="7"/>
      <c r="V667" s="7"/>
    </row>
    <row r="668" spans="10:22" ht="12.75">
      <c r="J668" s="7"/>
      <c r="K668" s="7"/>
      <c r="L668" s="7"/>
      <c r="M668" s="7"/>
      <c r="O668" s="7"/>
      <c r="P668" s="7"/>
      <c r="Q668" s="7"/>
      <c r="S668" s="7"/>
      <c r="U668" s="7"/>
      <c r="V668" s="7"/>
    </row>
    <row r="669" spans="10:22" ht="12.75">
      <c r="J669" s="7"/>
      <c r="K669" s="7"/>
      <c r="L669" s="7"/>
      <c r="M669" s="7"/>
      <c r="O669" s="7"/>
      <c r="P669" s="7"/>
      <c r="Q669" s="7"/>
      <c r="S669" s="7"/>
      <c r="U669" s="7"/>
      <c r="V669" s="7"/>
    </row>
    <row r="670" spans="10:22" ht="12.75">
      <c r="J670" s="7"/>
      <c r="K670" s="7"/>
      <c r="L670" s="7"/>
      <c r="M670" s="7"/>
      <c r="O670" s="7"/>
      <c r="P670" s="7"/>
      <c r="Q670" s="7"/>
      <c r="S670" s="7"/>
      <c r="U670" s="7"/>
      <c r="V670" s="7"/>
    </row>
    <row r="671" spans="10:22" ht="12.75">
      <c r="J671" s="7"/>
      <c r="K671" s="7"/>
      <c r="L671" s="7"/>
      <c r="M671" s="7"/>
      <c r="O671" s="7"/>
      <c r="P671" s="7"/>
      <c r="Q671" s="7"/>
      <c r="S671" s="7"/>
      <c r="U671" s="7"/>
      <c r="V671" s="7"/>
    </row>
    <row r="672" spans="10:22" ht="12.75">
      <c r="J672" s="7"/>
      <c r="K672" s="7"/>
      <c r="L672" s="7"/>
      <c r="M672" s="7"/>
      <c r="O672" s="7"/>
      <c r="P672" s="7"/>
      <c r="Q672" s="7"/>
      <c r="S672" s="7"/>
      <c r="U672" s="7"/>
      <c r="V672" s="7"/>
    </row>
    <row r="673" spans="10:22" ht="12.75">
      <c r="J673" s="7"/>
      <c r="K673" s="7"/>
      <c r="L673" s="7"/>
      <c r="M673" s="7"/>
      <c r="O673" s="7"/>
      <c r="P673" s="7"/>
      <c r="Q673" s="7"/>
      <c r="S673" s="7"/>
      <c r="U673" s="7"/>
      <c r="V673" s="7"/>
    </row>
    <row r="674" spans="10:22" ht="12.75">
      <c r="J674" s="7"/>
      <c r="K674" s="7"/>
      <c r="L674" s="7"/>
      <c r="M674" s="7"/>
      <c r="O674" s="7"/>
      <c r="P674" s="7"/>
      <c r="Q674" s="7"/>
      <c r="S674" s="7"/>
      <c r="U674" s="7"/>
      <c r="V674" s="7"/>
    </row>
    <row r="675" spans="10:22" ht="12.75">
      <c r="J675" s="7"/>
      <c r="K675" s="7"/>
      <c r="L675" s="7"/>
      <c r="M675" s="7"/>
      <c r="O675" s="7"/>
      <c r="P675" s="7"/>
      <c r="Q675" s="7"/>
      <c r="S675" s="7"/>
      <c r="U675" s="7"/>
      <c r="V675" s="7"/>
    </row>
    <row r="676" spans="10:22" ht="12.75">
      <c r="J676" s="7"/>
      <c r="K676" s="7"/>
      <c r="L676" s="7"/>
      <c r="M676" s="7"/>
      <c r="O676" s="7"/>
      <c r="P676" s="7"/>
      <c r="Q676" s="7"/>
      <c r="S676" s="7"/>
      <c r="U676" s="7"/>
      <c r="V676" s="7"/>
    </row>
    <row r="677" spans="10:22" ht="12.75">
      <c r="J677" s="7"/>
      <c r="K677" s="7"/>
      <c r="L677" s="7"/>
      <c r="M677" s="7"/>
      <c r="O677" s="7"/>
      <c r="P677" s="7"/>
      <c r="Q677" s="7"/>
      <c r="S677" s="7"/>
      <c r="U677" s="7"/>
      <c r="V677" s="7"/>
    </row>
    <row r="678" spans="10:22" ht="12.75">
      <c r="J678" s="7"/>
      <c r="K678" s="7"/>
      <c r="L678" s="7"/>
      <c r="M678" s="7"/>
      <c r="O678" s="7"/>
      <c r="P678" s="7"/>
      <c r="Q678" s="7"/>
      <c r="S678" s="7"/>
      <c r="U678" s="7"/>
      <c r="V678" s="7"/>
    </row>
    <row r="679" spans="10:22" ht="12.75">
      <c r="J679" s="7"/>
      <c r="K679" s="7"/>
      <c r="L679" s="7"/>
      <c r="M679" s="7"/>
      <c r="O679" s="7"/>
      <c r="P679" s="7"/>
      <c r="Q679" s="7"/>
      <c r="S679" s="7"/>
      <c r="U679" s="7"/>
      <c r="V679" s="7"/>
    </row>
    <row r="680" spans="10:22" ht="12.75">
      <c r="J680" s="7"/>
      <c r="K680" s="7"/>
      <c r="L680" s="7"/>
      <c r="M680" s="7"/>
      <c r="O680" s="7"/>
      <c r="P680" s="7"/>
      <c r="Q680" s="7"/>
      <c r="S680" s="7"/>
      <c r="U680" s="7"/>
      <c r="V680" s="7"/>
    </row>
    <row r="681" spans="10:22" ht="12.75">
      <c r="J681" s="7"/>
      <c r="K681" s="7"/>
      <c r="L681" s="7"/>
      <c r="M681" s="7"/>
      <c r="O681" s="7"/>
      <c r="P681" s="7"/>
      <c r="Q681" s="7"/>
      <c r="S681" s="7"/>
      <c r="U681" s="7"/>
      <c r="V681" s="7"/>
    </row>
    <row r="682" spans="10:22" ht="12.75">
      <c r="J682" s="7"/>
      <c r="K682" s="7"/>
      <c r="L682" s="7"/>
      <c r="M682" s="7"/>
      <c r="O682" s="7"/>
      <c r="P682" s="7"/>
      <c r="Q682" s="7"/>
      <c r="S682" s="7"/>
      <c r="U682" s="7"/>
      <c r="V682" s="7"/>
    </row>
    <row r="683" spans="10:22" ht="12.75">
      <c r="J683" s="7"/>
      <c r="K683" s="7"/>
      <c r="L683" s="7"/>
      <c r="M683" s="7"/>
      <c r="O683" s="7"/>
      <c r="P683" s="7"/>
      <c r="Q683" s="7"/>
      <c r="S683" s="7"/>
      <c r="U683" s="7"/>
      <c r="V683" s="7"/>
    </row>
    <row r="684" spans="10:22" ht="12.75">
      <c r="J684" s="7"/>
      <c r="K684" s="7"/>
      <c r="L684" s="7"/>
      <c r="M684" s="7"/>
      <c r="O684" s="7"/>
      <c r="P684" s="7"/>
      <c r="Q684" s="7"/>
      <c r="S684" s="7"/>
      <c r="U684" s="7"/>
      <c r="V684" s="7"/>
    </row>
    <row r="685" spans="10:22" ht="12.75">
      <c r="J685" s="7"/>
      <c r="K685" s="7"/>
      <c r="L685" s="7"/>
      <c r="M685" s="7"/>
      <c r="O685" s="7"/>
      <c r="P685" s="7"/>
      <c r="Q685" s="7"/>
      <c r="S685" s="7"/>
      <c r="U685" s="7"/>
      <c r="V685" s="7"/>
    </row>
    <row r="686" spans="10:22" ht="12.75">
      <c r="J686" s="7"/>
      <c r="K686" s="7"/>
      <c r="L686" s="7"/>
      <c r="M686" s="7"/>
      <c r="O686" s="7"/>
      <c r="P686" s="7"/>
      <c r="Q686" s="7"/>
      <c r="S686" s="7"/>
      <c r="U686" s="7"/>
      <c r="V686" s="7"/>
    </row>
    <row r="687" spans="10:22" ht="12.75">
      <c r="J687" s="7"/>
      <c r="K687" s="7"/>
      <c r="L687" s="7"/>
      <c r="M687" s="7"/>
      <c r="O687" s="7"/>
      <c r="P687" s="7"/>
      <c r="Q687" s="7"/>
      <c r="S687" s="7"/>
      <c r="U687" s="7"/>
      <c r="V687" s="7"/>
    </row>
    <row r="688" spans="10:22" ht="12.75">
      <c r="J688" s="7"/>
      <c r="K688" s="7"/>
      <c r="L688" s="7"/>
      <c r="M688" s="7"/>
      <c r="O688" s="7"/>
      <c r="P688" s="7"/>
      <c r="Q688" s="7"/>
      <c r="S688" s="7"/>
      <c r="U688" s="7"/>
      <c r="V688" s="7"/>
    </row>
    <row r="689" spans="10:22" ht="12.75">
      <c r="J689" s="7"/>
      <c r="K689" s="7"/>
      <c r="L689" s="7"/>
      <c r="M689" s="7"/>
      <c r="O689" s="7"/>
      <c r="P689" s="7"/>
      <c r="Q689" s="7"/>
      <c r="S689" s="7"/>
      <c r="U689" s="7"/>
      <c r="V689" s="7"/>
    </row>
    <row r="690" spans="10:22" ht="12.75">
      <c r="J690" s="7"/>
      <c r="K690" s="7"/>
      <c r="L690" s="7"/>
      <c r="M690" s="7"/>
      <c r="O690" s="7"/>
      <c r="P690" s="7"/>
      <c r="Q690" s="7"/>
      <c r="S690" s="7"/>
      <c r="U690" s="7"/>
      <c r="V690" s="7"/>
    </row>
    <row r="691" spans="10:22" ht="12.75">
      <c r="J691" s="7"/>
      <c r="K691" s="7"/>
      <c r="L691" s="7"/>
      <c r="M691" s="7"/>
      <c r="O691" s="7"/>
      <c r="P691" s="7"/>
      <c r="Q691" s="7"/>
      <c r="S691" s="7"/>
      <c r="U691" s="7"/>
      <c r="V691" s="7"/>
    </row>
    <row r="692" spans="10:22" ht="12.75">
      <c r="J692" s="7"/>
      <c r="K692" s="7"/>
      <c r="L692" s="7"/>
      <c r="M692" s="7"/>
      <c r="O692" s="7"/>
      <c r="P692" s="7"/>
      <c r="Q692" s="7"/>
      <c r="S692" s="7"/>
      <c r="U692" s="7"/>
      <c r="V692" s="7"/>
    </row>
    <row r="693" spans="10:22" ht="12.75">
      <c r="J693" s="7"/>
      <c r="K693" s="7"/>
      <c r="L693" s="7"/>
      <c r="M693" s="7"/>
      <c r="O693" s="7"/>
      <c r="P693" s="7"/>
      <c r="Q693" s="7"/>
      <c r="S693" s="7"/>
      <c r="U693" s="7"/>
      <c r="V693" s="7"/>
    </row>
    <row r="694" spans="10:22" ht="12.75">
      <c r="J694" s="7"/>
      <c r="K694" s="7"/>
      <c r="L694" s="7"/>
      <c r="M694" s="7"/>
      <c r="O694" s="7"/>
      <c r="P694" s="7"/>
      <c r="Q694" s="7"/>
      <c r="S694" s="7"/>
      <c r="U694" s="7"/>
      <c r="V694" s="7"/>
    </row>
    <row r="695" spans="10:22" ht="12.75">
      <c r="J695" s="7"/>
      <c r="K695" s="7"/>
      <c r="L695" s="7"/>
      <c r="M695" s="7"/>
      <c r="O695" s="7"/>
      <c r="P695" s="7"/>
      <c r="Q695" s="7"/>
      <c r="S695" s="7"/>
      <c r="U695" s="7"/>
      <c r="V695" s="7"/>
    </row>
    <row r="696" spans="10:22" ht="12.75">
      <c r="J696" s="7"/>
      <c r="K696" s="7"/>
      <c r="L696" s="7"/>
      <c r="M696" s="7"/>
      <c r="O696" s="7"/>
      <c r="P696" s="7"/>
      <c r="Q696" s="7"/>
      <c r="S696" s="7"/>
      <c r="U696" s="7"/>
      <c r="V696" s="7"/>
    </row>
    <row r="697" spans="10:22" ht="12.75">
      <c r="J697" s="7"/>
      <c r="K697" s="7"/>
      <c r="L697" s="7"/>
      <c r="M697" s="7"/>
      <c r="O697" s="7"/>
      <c r="P697" s="7"/>
      <c r="Q697" s="7"/>
      <c r="S697" s="7"/>
      <c r="U697" s="7"/>
      <c r="V697" s="7"/>
    </row>
    <row r="698" spans="10:22" ht="12.75">
      <c r="J698" s="7"/>
      <c r="K698" s="7"/>
      <c r="L698" s="7"/>
      <c r="M698" s="7"/>
      <c r="O698" s="7"/>
      <c r="P698" s="7"/>
      <c r="Q698" s="7"/>
      <c r="S698" s="7"/>
      <c r="U698" s="7"/>
      <c r="V698" s="7"/>
    </row>
    <row r="699" spans="10:22" ht="12.75">
      <c r="J699" s="7"/>
      <c r="K699" s="7"/>
      <c r="L699" s="7"/>
      <c r="M699" s="7"/>
      <c r="O699" s="7"/>
      <c r="P699" s="7"/>
      <c r="Q699" s="7"/>
      <c r="S699" s="7"/>
      <c r="U699" s="7"/>
      <c r="V699" s="7"/>
    </row>
    <row r="700" spans="10:22" ht="12.75">
      <c r="J700" s="7"/>
      <c r="K700" s="7"/>
      <c r="L700" s="7"/>
      <c r="M700" s="7"/>
      <c r="O700" s="7"/>
      <c r="P700" s="7"/>
      <c r="Q700" s="7"/>
      <c r="S700" s="7"/>
      <c r="U700" s="7"/>
      <c r="V700" s="7"/>
    </row>
    <row r="701" spans="10:22" ht="12.75">
      <c r="J701" s="7"/>
      <c r="K701" s="7"/>
      <c r="L701" s="7"/>
      <c r="M701" s="7"/>
      <c r="O701" s="7"/>
      <c r="P701" s="7"/>
      <c r="Q701" s="7"/>
      <c r="S701" s="7"/>
      <c r="U701" s="7"/>
      <c r="V701" s="7"/>
    </row>
    <row r="702" spans="10:22" ht="12.75">
      <c r="J702" s="7"/>
      <c r="K702" s="7"/>
      <c r="L702" s="7"/>
      <c r="M702" s="7"/>
      <c r="O702" s="7"/>
      <c r="P702" s="7"/>
      <c r="Q702" s="7"/>
      <c r="S702" s="7"/>
      <c r="U702" s="7"/>
      <c r="V702" s="7"/>
    </row>
    <row r="703" spans="10:22" ht="12.75">
      <c r="J703" s="7"/>
      <c r="K703" s="7"/>
      <c r="L703" s="7"/>
      <c r="M703" s="7"/>
      <c r="O703" s="7"/>
      <c r="P703" s="7"/>
      <c r="Q703" s="7"/>
      <c r="S703" s="7"/>
      <c r="U703" s="7"/>
      <c r="V703" s="7"/>
    </row>
    <row r="704" spans="10:22" ht="12.75">
      <c r="J704" s="7"/>
      <c r="K704" s="7"/>
      <c r="L704" s="7"/>
      <c r="M704" s="7"/>
      <c r="O704" s="7"/>
      <c r="P704" s="7"/>
      <c r="Q704" s="7"/>
      <c r="S704" s="7"/>
      <c r="U704" s="7"/>
      <c r="V704" s="7"/>
    </row>
    <row r="705" spans="10:22" ht="12.75">
      <c r="J705" s="7"/>
      <c r="K705" s="7"/>
      <c r="L705" s="7"/>
      <c r="M705" s="7"/>
      <c r="O705" s="7"/>
      <c r="P705" s="7"/>
      <c r="Q705" s="7"/>
      <c r="S705" s="7"/>
      <c r="U705" s="7"/>
      <c r="V705" s="7"/>
    </row>
    <row r="706" spans="10:22" ht="12.75">
      <c r="J706" s="7"/>
      <c r="K706" s="7"/>
      <c r="L706" s="7"/>
      <c r="M706" s="7"/>
      <c r="O706" s="7"/>
      <c r="P706" s="7"/>
      <c r="Q706" s="7"/>
      <c r="S706" s="7"/>
      <c r="U706" s="7"/>
      <c r="V706" s="7"/>
    </row>
    <row r="707" spans="10:22" ht="12.75">
      <c r="J707" s="7"/>
      <c r="K707" s="7"/>
      <c r="L707" s="7"/>
      <c r="M707" s="7"/>
      <c r="O707" s="7"/>
      <c r="P707" s="7"/>
      <c r="Q707" s="7"/>
      <c r="S707" s="7"/>
      <c r="U707" s="7"/>
      <c r="V707" s="7"/>
    </row>
    <row r="708" spans="10:22" ht="12.75">
      <c r="J708" s="7"/>
      <c r="K708" s="7"/>
      <c r="L708" s="7"/>
      <c r="M708" s="7"/>
      <c r="O708" s="7"/>
      <c r="P708" s="7"/>
      <c r="Q708" s="7"/>
      <c r="S708" s="7"/>
      <c r="U708" s="7"/>
      <c r="V708" s="7"/>
    </row>
    <row r="709" spans="10:22" ht="12.75">
      <c r="J709" s="7"/>
      <c r="K709" s="7"/>
      <c r="L709" s="7"/>
      <c r="M709" s="7"/>
      <c r="O709" s="7"/>
      <c r="P709" s="7"/>
      <c r="Q709" s="7"/>
      <c r="S709" s="7"/>
      <c r="U709" s="7"/>
      <c r="V709" s="7"/>
    </row>
    <row r="710" spans="10:22" ht="12.75">
      <c r="J710" s="7"/>
      <c r="K710" s="7"/>
      <c r="L710" s="7"/>
      <c r="M710" s="7"/>
      <c r="O710" s="7"/>
      <c r="P710" s="7"/>
      <c r="Q710" s="7"/>
      <c r="S710" s="7"/>
      <c r="U710" s="7"/>
      <c r="V710" s="7"/>
    </row>
    <row r="711" spans="10:22" ht="12.75">
      <c r="J711" s="7"/>
      <c r="K711" s="7"/>
      <c r="L711" s="7"/>
      <c r="M711" s="7"/>
      <c r="O711" s="7"/>
      <c r="P711" s="7"/>
      <c r="Q711" s="7"/>
      <c r="S711" s="7"/>
      <c r="U711" s="7"/>
      <c r="V711" s="7"/>
    </row>
    <row r="712" spans="10:22" ht="12.75">
      <c r="J712" s="7"/>
      <c r="K712" s="7"/>
      <c r="L712" s="7"/>
      <c r="M712" s="7"/>
      <c r="O712" s="7"/>
      <c r="P712" s="7"/>
      <c r="Q712" s="7"/>
      <c r="S712" s="7"/>
      <c r="U712" s="7"/>
      <c r="V712" s="7"/>
    </row>
    <row r="713" spans="10:22" ht="12.75">
      <c r="J713" s="7"/>
      <c r="K713" s="7"/>
      <c r="L713" s="7"/>
      <c r="M713" s="7"/>
      <c r="O713" s="7"/>
      <c r="P713" s="7"/>
      <c r="Q713" s="7"/>
      <c r="S713" s="7"/>
      <c r="U713" s="7"/>
      <c r="V713" s="7"/>
    </row>
    <row r="714" spans="10:22" ht="12.75">
      <c r="J714" s="7"/>
      <c r="K714" s="7"/>
      <c r="L714" s="7"/>
      <c r="M714" s="7"/>
      <c r="O714" s="7"/>
      <c r="P714" s="7"/>
      <c r="Q714" s="7"/>
      <c r="S714" s="7"/>
      <c r="U714" s="7"/>
      <c r="V714" s="7"/>
    </row>
    <row r="715" spans="10:22" ht="12.75">
      <c r="J715" s="7"/>
      <c r="K715" s="7"/>
      <c r="L715" s="7"/>
      <c r="M715" s="7"/>
      <c r="O715" s="7"/>
      <c r="P715" s="7"/>
      <c r="Q715" s="7"/>
      <c r="S715" s="7"/>
      <c r="U715" s="7"/>
      <c r="V715" s="7"/>
    </row>
    <row r="716" spans="10:22" ht="12.75">
      <c r="J716" s="7"/>
      <c r="K716" s="7"/>
      <c r="L716" s="7"/>
      <c r="M716" s="7"/>
      <c r="O716" s="7"/>
      <c r="P716" s="7"/>
      <c r="Q716" s="7"/>
      <c r="S716" s="7"/>
      <c r="U716" s="7"/>
      <c r="V716" s="7"/>
    </row>
    <row r="717" spans="10:22" ht="12.75">
      <c r="J717" s="7"/>
      <c r="K717" s="7"/>
      <c r="L717" s="7"/>
      <c r="M717" s="7"/>
      <c r="O717" s="7"/>
      <c r="P717" s="7"/>
      <c r="Q717" s="7"/>
      <c r="S717" s="7"/>
      <c r="U717" s="7"/>
      <c r="V717" s="7"/>
    </row>
    <row r="718" spans="10:22" ht="12.75">
      <c r="J718" s="7"/>
      <c r="K718" s="7"/>
      <c r="L718" s="7"/>
      <c r="M718" s="7"/>
      <c r="O718" s="7"/>
      <c r="P718" s="7"/>
      <c r="Q718" s="7"/>
      <c r="S718" s="7"/>
      <c r="U718" s="7"/>
      <c r="V718" s="7"/>
    </row>
    <row r="719" spans="10:22" ht="12.75">
      <c r="J719" s="7"/>
      <c r="K719" s="7"/>
      <c r="L719" s="7"/>
      <c r="M719" s="7"/>
      <c r="O719" s="7"/>
      <c r="P719" s="7"/>
      <c r="Q719" s="7"/>
      <c r="S719" s="7"/>
      <c r="U719" s="7"/>
      <c r="V719" s="7"/>
    </row>
    <row r="720" spans="10:22" ht="12.75">
      <c r="J720" s="7"/>
      <c r="K720" s="7"/>
      <c r="L720" s="7"/>
      <c r="M720" s="7"/>
      <c r="O720" s="7"/>
      <c r="P720" s="7"/>
      <c r="Q720" s="7"/>
      <c r="S720" s="7"/>
      <c r="U720" s="7"/>
      <c r="V720" s="7"/>
    </row>
    <row r="721" spans="10:22" ht="12.75">
      <c r="J721" s="7"/>
      <c r="K721" s="7"/>
      <c r="L721" s="7"/>
      <c r="M721" s="7"/>
      <c r="O721" s="7"/>
      <c r="P721" s="7"/>
      <c r="Q721" s="7"/>
      <c r="S721" s="7"/>
      <c r="U721" s="7"/>
      <c r="V721" s="7"/>
    </row>
    <row r="722" spans="10:22" ht="12.75">
      <c r="J722" s="7"/>
      <c r="K722" s="7"/>
      <c r="L722" s="7"/>
      <c r="M722" s="7"/>
      <c r="O722" s="7"/>
      <c r="P722" s="7"/>
      <c r="Q722" s="7"/>
      <c r="S722" s="7"/>
      <c r="U722" s="7"/>
      <c r="V722" s="7"/>
    </row>
    <row r="723" spans="10:22" ht="12.75">
      <c r="J723" s="7"/>
      <c r="K723" s="7"/>
      <c r="L723" s="7"/>
      <c r="M723" s="7"/>
      <c r="O723" s="7"/>
      <c r="P723" s="7"/>
      <c r="Q723" s="7"/>
      <c r="S723" s="7"/>
      <c r="U723" s="7"/>
      <c r="V723" s="7"/>
    </row>
    <row r="724" spans="10:22" ht="12.75">
      <c r="J724" s="7"/>
      <c r="K724" s="7"/>
      <c r="L724" s="7"/>
      <c r="M724" s="7"/>
      <c r="O724" s="7"/>
      <c r="P724" s="7"/>
      <c r="Q724" s="7"/>
      <c r="S724" s="7"/>
      <c r="U724" s="7"/>
      <c r="V724" s="7"/>
    </row>
    <row r="725" spans="10:22" ht="12.75">
      <c r="J725" s="7"/>
      <c r="K725" s="7"/>
      <c r="L725" s="7"/>
      <c r="M725" s="7"/>
      <c r="O725" s="7"/>
      <c r="P725" s="7"/>
      <c r="Q725" s="7"/>
      <c r="S725" s="7"/>
      <c r="U725" s="7"/>
      <c r="V725" s="7"/>
    </row>
    <row r="726" spans="10:22" ht="12.75">
      <c r="J726" s="7"/>
      <c r="K726" s="7"/>
      <c r="L726" s="7"/>
      <c r="M726" s="7"/>
      <c r="O726" s="7"/>
      <c r="P726" s="7"/>
      <c r="Q726" s="7"/>
      <c r="S726" s="7"/>
      <c r="U726" s="7"/>
      <c r="V726" s="7"/>
    </row>
    <row r="727" spans="10:22" ht="12.75">
      <c r="J727" s="7"/>
      <c r="K727" s="7"/>
      <c r="L727" s="7"/>
      <c r="M727" s="7"/>
      <c r="O727" s="7"/>
      <c r="P727" s="7"/>
      <c r="Q727" s="7"/>
      <c r="S727" s="7"/>
      <c r="U727" s="7"/>
      <c r="V727" s="7"/>
    </row>
    <row r="728" spans="10:22" ht="12.75">
      <c r="J728" s="7"/>
      <c r="K728" s="7"/>
      <c r="L728" s="7"/>
      <c r="M728" s="7"/>
      <c r="O728" s="7"/>
      <c r="P728" s="7"/>
      <c r="Q728" s="7"/>
      <c r="S728" s="7"/>
      <c r="U728" s="7"/>
      <c r="V728" s="7"/>
    </row>
    <row r="729" spans="10:22" ht="12.75">
      <c r="J729" s="7"/>
      <c r="K729" s="7"/>
      <c r="L729" s="7"/>
      <c r="M729" s="7"/>
      <c r="O729" s="7"/>
      <c r="P729" s="7"/>
      <c r="Q729" s="7"/>
      <c r="S729" s="7"/>
      <c r="U729" s="7"/>
      <c r="V729" s="7"/>
    </row>
    <row r="730" spans="10:22" ht="12.75">
      <c r="J730" s="7"/>
      <c r="K730" s="7"/>
      <c r="L730" s="7"/>
      <c r="M730" s="7"/>
      <c r="O730" s="7"/>
      <c r="P730" s="7"/>
      <c r="Q730" s="7"/>
      <c r="S730" s="7"/>
      <c r="U730" s="7"/>
      <c r="V730" s="7"/>
    </row>
    <row r="731" spans="10:22" ht="12.75">
      <c r="J731" s="7"/>
      <c r="K731" s="7"/>
      <c r="L731" s="7"/>
      <c r="M731" s="7"/>
      <c r="O731" s="7"/>
      <c r="P731" s="7"/>
      <c r="Q731" s="7"/>
      <c r="S731" s="7"/>
      <c r="U731" s="7"/>
      <c r="V731" s="7"/>
    </row>
    <row r="732" spans="10:22" ht="12.75">
      <c r="J732" s="7"/>
      <c r="K732" s="7"/>
      <c r="L732" s="7"/>
      <c r="M732" s="7"/>
      <c r="O732" s="7"/>
      <c r="P732" s="7"/>
      <c r="Q732" s="7"/>
      <c r="S732" s="7"/>
      <c r="U732" s="7"/>
      <c r="V732" s="7"/>
    </row>
    <row r="733" spans="10:22" ht="12.75">
      <c r="J733" s="7"/>
      <c r="K733" s="7"/>
      <c r="L733" s="7"/>
      <c r="M733" s="7"/>
      <c r="O733" s="7"/>
      <c r="P733" s="7"/>
      <c r="Q733" s="7"/>
      <c r="S733" s="7"/>
      <c r="U733" s="7"/>
      <c r="V733" s="7"/>
    </row>
    <row r="734" spans="10:22" ht="12.75">
      <c r="J734" s="7"/>
      <c r="K734" s="7"/>
      <c r="L734" s="7"/>
      <c r="M734" s="7"/>
      <c r="O734" s="7"/>
      <c r="P734" s="7"/>
      <c r="Q734" s="7"/>
      <c r="S734" s="7"/>
      <c r="U734" s="7"/>
      <c r="V734" s="7"/>
    </row>
    <row r="735" spans="10:22" ht="12.75">
      <c r="J735" s="7"/>
      <c r="K735" s="7"/>
      <c r="L735" s="7"/>
      <c r="M735" s="7"/>
      <c r="O735" s="7"/>
      <c r="P735" s="7"/>
      <c r="Q735" s="7"/>
      <c r="S735" s="7"/>
      <c r="U735" s="7"/>
      <c r="V735" s="7"/>
    </row>
    <row r="736" spans="10:22" ht="12.75">
      <c r="J736" s="7"/>
      <c r="K736" s="7"/>
      <c r="L736" s="7"/>
      <c r="M736" s="7"/>
      <c r="O736" s="7"/>
      <c r="P736" s="7"/>
      <c r="Q736" s="7"/>
      <c r="S736" s="7"/>
      <c r="U736" s="7"/>
      <c r="V736" s="7"/>
    </row>
    <row r="737" spans="10:22" ht="12.75">
      <c r="J737" s="7"/>
      <c r="K737" s="7"/>
      <c r="L737" s="7"/>
      <c r="M737" s="7"/>
      <c r="O737" s="7"/>
      <c r="P737" s="7"/>
      <c r="Q737" s="7"/>
      <c r="S737" s="7"/>
      <c r="U737" s="7"/>
      <c r="V737" s="7"/>
    </row>
    <row r="738" spans="10:22" ht="12.75">
      <c r="J738" s="7"/>
      <c r="K738" s="7"/>
      <c r="L738" s="7"/>
      <c r="M738" s="7"/>
      <c r="O738" s="7"/>
      <c r="P738" s="7"/>
      <c r="Q738" s="7"/>
      <c r="S738" s="7"/>
      <c r="U738" s="7"/>
      <c r="V738" s="7"/>
    </row>
    <row r="739" spans="10:22" ht="12.75">
      <c r="J739" s="7"/>
      <c r="K739" s="7"/>
      <c r="L739" s="7"/>
      <c r="M739" s="7"/>
      <c r="O739" s="7"/>
      <c r="P739" s="7"/>
      <c r="Q739" s="7"/>
      <c r="S739" s="7"/>
      <c r="U739" s="7"/>
      <c r="V739" s="7"/>
    </row>
    <row r="740" spans="10:22" ht="12.75">
      <c r="J740" s="7"/>
      <c r="K740" s="7"/>
      <c r="L740" s="7"/>
      <c r="M740" s="7"/>
      <c r="O740" s="7"/>
      <c r="P740" s="7"/>
      <c r="Q740" s="7"/>
      <c r="S740" s="7"/>
      <c r="U740" s="7"/>
      <c r="V740" s="7"/>
    </row>
    <row r="741" spans="10:22" ht="12.75">
      <c r="J741" s="7"/>
      <c r="K741" s="7"/>
      <c r="L741" s="7"/>
      <c r="M741" s="7"/>
      <c r="O741" s="7"/>
      <c r="P741" s="7"/>
      <c r="Q741" s="7"/>
      <c r="S741" s="7"/>
      <c r="U741" s="7"/>
      <c r="V741" s="7"/>
    </row>
    <row r="742" spans="10:22" ht="12.75">
      <c r="J742" s="7"/>
      <c r="K742" s="7"/>
      <c r="L742" s="7"/>
      <c r="M742" s="7"/>
      <c r="O742" s="7"/>
      <c r="P742" s="7"/>
      <c r="Q742" s="7"/>
      <c r="S742" s="7"/>
      <c r="U742" s="7"/>
      <c r="V742" s="7"/>
    </row>
    <row r="743" spans="10:22" ht="12.75">
      <c r="J743" s="7"/>
      <c r="K743" s="7"/>
      <c r="L743" s="7"/>
      <c r="M743" s="7"/>
      <c r="O743" s="7"/>
      <c r="P743" s="7"/>
      <c r="Q743" s="7"/>
      <c r="S743" s="7"/>
      <c r="U743" s="7"/>
      <c r="V743" s="7"/>
    </row>
    <row r="744" spans="10:22" ht="12.75">
      <c r="J744" s="7"/>
      <c r="K744" s="7"/>
      <c r="L744" s="7"/>
      <c r="M744" s="7"/>
      <c r="O744" s="7"/>
      <c r="P744" s="7"/>
      <c r="Q744" s="7"/>
      <c r="S744" s="7"/>
      <c r="U744" s="7"/>
      <c r="V744" s="7"/>
    </row>
    <row r="745" spans="10:22" ht="12.75">
      <c r="J745" s="7"/>
      <c r="K745" s="7"/>
      <c r="L745" s="7"/>
      <c r="M745" s="7"/>
      <c r="O745" s="7"/>
      <c r="P745" s="7"/>
      <c r="Q745" s="7"/>
      <c r="S745" s="7"/>
      <c r="U745" s="7"/>
      <c r="V745" s="7"/>
    </row>
    <row r="746" spans="10:22" ht="12.75">
      <c r="J746" s="7"/>
      <c r="K746" s="7"/>
      <c r="L746" s="7"/>
      <c r="M746" s="7"/>
      <c r="O746" s="7"/>
      <c r="P746" s="7"/>
      <c r="Q746" s="7"/>
      <c r="S746" s="7"/>
      <c r="U746" s="7"/>
      <c r="V746" s="7"/>
    </row>
    <row r="747" spans="10:22" ht="12.75">
      <c r="J747" s="7"/>
      <c r="K747" s="7"/>
      <c r="L747" s="7"/>
      <c r="M747" s="7"/>
      <c r="O747" s="7"/>
      <c r="P747" s="7"/>
      <c r="Q747" s="7"/>
      <c r="S747" s="7"/>
      <c r="U747" s="7"/>
      <c r="V747" s="7"/>
    </row>
    <row r="748" spans="10:22" ht="12.75">
      <c r="J748" s="7"/>
      <c r="K748" s="7"/>
      <c r="L748" s="7"/>
      <c r="M748" s="7"/>
      <c r="O748" s="7"/>
      <c r="P748" s="7"/>
      <c r="Q748" s="7"/>
      <c r="S748" s="7"/>
      <c r="U748" s="7"/>
      <c r="V748" s="7"/>
    </row>
    <row r="749" spans="10:22" ht="12.75">
      <c r="J749" s="7"/>
      <c r="K749" s="7"/>
      <c r="L749" s="7"/>
      <c r="M749" s="7"/>
      <c r="O749" s="7"/>
      <c r="P749" s="7"/>
      <c r="Q749" s="7"/>
      <c r="S749" s="7"/>
      <c r="U749" s="7"/>
      <c r="V749" s="7"/>
    </row>
    <row r="750" spans="10:22" ht="12.75">
      <c r="J750" s="7"/>
      <c r="K750" s="7"/>
      <c r="L750" s="7"/>
      <c r="M750" s="7"/>
      <c r="O750" s="7"/>
      <c r="P750" s="7"/>
      <c r="Q750" s="7"/>
      <c r="S750" s="7"/>
      <c r="U750" s="7"/>
      <c r="V750" s="7"/>
    </row>
    <row r="751" spans="10:22" ht="12.75">
      <c r="J751" s="7"/>
      <c r="K751" s="7"/>
      <c r="L751" s="7"/>
      <c r="M751" s="7"/>
      <c r="O751" s="7"/>
      <c r="P751" s="7"/>
      <c r="Q751" s="7"/>
      <c r="S751" s="7"/>
      <c r="U751" s="7"/>
      <c r="V751" s="7"/>
    </row>
    <row r="752" spans="10:22" ht="12.75">
      <c r="J752" s="7"/>
      <c r="K752" s="7"/>
      <c r="L752" s="7"/>
      <c r="M752" s="7"/>
      <c r="O752" s="7"/>
      <c r="P752" s="7"/>
      <c r="Q752" s="7"/>
      <c r="S752" s="7"/>
      <c r="U752" s="7"/>
      <c r="V752" s="7"/>
    </row>
    <row r="753" spans="10:22" ht="12.75">
      <c r="J753" s="7"/>
      <c r="K753" s="7"/>
      <c r="L753" s="7"/>
      <c r="M753" s="7"/>
      <c r="O753" s="7"/>
      <c r="P753" s="7"/>
      <c r="Q753" s="7"/>
      <c r="S753" s="7"/>
      <c r="U753" s="7"/>
      <c r="V753" s="7"/>
    </row>
    <row r="754" spans="10:22" ht="12.75">
      <c r="J754" s="7"/>
      <c r="K754" s="7"/>
      <c r="L754" s="7"/>
      <c r="M754" s="7"/>
      <c r="O754" s="7"/>
      <c r="P754" s="7"/>
      <c r="Q754" s="7"/>
      <c r="S754" s="7"/>
      <c r="U754" s="7"/>
      <c r="V754" s="7"/>
    </row>
    <row r="755" spans="10:22" ht="12.75">
      <c r="J755" s="7"/>
      <c r="K755" s="7"/>
      <c r="L755" s="7"/>
      <c r="M755" s="7"/>
      <c r="O755" s="7"/>
      <c r="P755" s="7"/>
      <c r="Q755" s="7"/>
      <c r="S755" s="7"/>
      <c r="U755" s="7"/>
      <c r="V755" s="7"/>
    </row>
    <row r="756" spans="10:22" ht="12.75">
      <c r="J756" s="7"/>
      <c r="K756" s="7"/>
      <c r="L756" s="7"/>
      <c r="M756" s="7"/>
      <c r="O756" s="7"/>
      <c r="P756" s="7"/>
      <c r="Q756" s="7"/>
      <c r="S756" s="7"/>
      <c r="U756" s="7"/>
      <c r="V756" s="7"/>
    </row>
    <row r="757" spans="10:22" ht="12.75">
      <c r="J757" s="7"/>
      <c r="K757" s="7"/>
      <c r="L757" s="7"/>
      <c r="M757" s="7"/>
      <c r="O757" s="7"/>
      <c r="P757" s="7"/>
      <c r="Q757" s="7"/>
      <c r="S757" s="7"/>
      <c r="U757" s="7"/>
      <c r="V757" s="7"/>
    </row>
    <row r="758" spans="10:22" ht="12.75">
      <c r="J758" s="7"/>
      <c r="K758" s="7"/>
      <c r="L758" s="7"/>
      <c r="M758" s="7"/>
      <c r="O758" s="7"/>
      <c r="P758" s="7"/>
      <c r="Q758" s="7"/>
      <c r="S758" s="7"/>
      <c r="U758" s="7"/>
      <c r="V758" s="7"/>
    </row>
    <row r="759" spans="10:22" ht="12.75">
      <c r="J759" s="7"/>
      <c r="K759" s="7"/>
      <c r="L759" s="7"/>
      <c r="M759" s="7"/>
      <c r="O759" s="7"/>
      <c r="P759" s="7"/>
      <c r="Q759" s="7"/>
      <c r="S759" s="7"/>
      <c r="U759" s="7"/>
      <c r="V759" s="7"/>
    </row>
    <row r="760" spans="10:22" ht="12.75">
      <c r="J760" s="7"/>
      <c r="K760" s="7"/>
      <c r="L760" s="7"/>
      <c r="M760" s="7"/>
      <c r="O760" s="7"/>
      <c r="P760" s="7"/>
      <c r="Q760" s="7"/>
      <c r="S760" s="7"/>
      <c r="U760" s="7"/>
      <c r="V760" s="7"/>
    </row>
    <row r="761" spans="10:22" ht="12.75">
      <c r="J761" s="7"/>
      <c r="K761" s="7"/>
      <c r="L761" s="7"/>
      <c r="M761" s="7"/>
      <c r="O761" s="7"/>
      <c r="P761" s="7"/>
      <c r="Q761" s="7"/>
      <c r="S761" s="7"/>
      <c r="U761" s="7"/>
      <c r="V761" s="7"/>
    </row>
    <row r="762" spans="10:22" ht="12.75">
      <c r="J762" s="7"/>
      <c r="K762" s="7"/>
      <c r="L762" s="7"/>
      <c r="M762" s="7"/>
      <c r="O762" s="7"/>
      <c r="P762" s="7"/>
      <c r="Q762" s="7"/>
      <c r="S762" s="7"/>
      <c r="U762" s="7"/>
      <c r="V762" s="7"/>
    </row>
    <row r="763" spans="10:22" ht="12.75">
      <c r="J763" s="7"/>
      <c r="K763" s="7"/>
      <c r="L763" s="7"/>
      <c r="M763" s="7"/>
      <c r="O763" s="7"/>
      <c r="P763" s="7"/>
      <c r="Q763" s="7"/>
      <c r="S763" s="7"/>
      <c r="U763" s="7"/>
      <c r="V763" s="7"/>
    </row>
    <row r="764" spans="10:22" ht="12.75">
      <c r="J764" s="7"/>
      <c r="K764" s="7"/>
      <c r="L764" s="7"/>
      <c r="M764" s="7"/>
      <c r="O764" s="7"/>
      <c r="P764" s="7"/>
      <c r="Q764" s="7"/>
      <c r="S764" s="7"/>
      <c r="U764" s="7"/>
      <c r="V764" s="7"/>
    </row>
    <row r="765" spans="10:22" ht="12.75">
      <c r="J765" s="7"/>
      <c r="K765" s="7"/>
      <c r="L765" s="7"/>
      <c r="M765" s="7"/>
      <c r="O765" s="7"/>
      <c r="P765" s="7"/>
      <c r="Q765" s="7"/>
      <c r="S765" s="7"/>
      <c r="U765" s="7"/>
      <c r="V765" s="7"/>
    </row>
    <row r="766" spans="10:22" ht="12.75">
      <c r="J766" s="7"/>
      <c r="K766" s="7"/>
      <c r="L766" s="7"/>
      <c r="M766" s="7"/>
      <c r="O766" s="7"/>
      <c r="P766" s="7"/>
      <c r="Q766" s="7"/>
      <c r="S766" s="7"/>
      <c r="U766" s="7"/>
      <c r="V766" s="7"/>
    </row>
    <row r="767" spans="10:22" ht="12.75">
      <c r="J767" s="7"/>
      <c r="K767" s="7"/>
      <c r="L767" s="7"/>
      <c r="M767" s="7"/>
      <c r="O767" s="7"/>
      <c r="P767" s="7"/>
      <c r="Q767" s="7"/>
      <c r="S767" s="7"/>
      <c r="U767" s="7"/>
      <c r="V767" s="7"/>
    </row>
    <row r="768" spans="10:22" ht="12.75">
      <c r="J768" s="7"/>
      <c r="K768" s="7"/>
      <c r="L768" s="7"/>
      <c r="M768" s="7"/>
      <c r="O768" s="7"/>
      <c r="P768" s="7"/>
      <c r="Q768" s="7"/>
      <c r="S768" s="7"/>
      <c r="U768" s="7"/>
      <c r="V768" s="7"/>
    </row>
    <row r="769" spans="10:22" ht="12.75">
      <c r="J769" s="7"/>
      <c r="K769" s="7"/>
      <c r="L769" s="7"/>
      <c r="M769" s="7"/>
      <c r="O769" s="7"/>
      <c r="P769" s="7"/>
      <c r="Q769" s="7"/>
      <c r="S769" s="7"/>
      <c r="U769" s="7"/>
      <c r="V769" s="7"/>
    </row>
    <row r="770" spans="10:22" ht="12.75">
      <c r="J770" s="7"/>
      <c r="K770" s="7"/>
      <c r="L770" s="7"/>
      <c r="M770" s="7"/>
      <c r="O770" s="7"/>
      <c r="P770" s="7"/>
      <c r="Q770" s="7"/>
      <c r="S770" s="7"/>
      <c r="U770" s="7"/>
      <c r="V770" s="7"/>
    </row>
    <row r="771" spans="10:22" ht="12.75">
      <c r="J771" s="7"/>
      <c r="K771" s="7"/>
      <c r="L771" s="7"/>
      <c r="M771" s="7"/>
      <c r="O771" s="7"/>
      <c r="P771" s="7"/>
      <c r="Q771" s="7"/>
      <c r="S771" s="7"/>
      <c r="U771" s="7"/>
      <c r="V771" s="7"/>
    </row>
    <row r="772" spans="10:22" ht="12.75">
      <c r="J772" s="7"/>
      <c r="K772" s="7"/>
      <c r="L772" s="7"/>
      <c r="M772" s="7"/>
      <c r="O772" s="7"/>
      <c r="P772" s="7"/>
      <c r="Q772" s="7"/>
      <c r="S772" s="7"/>
      <c r="U772" s="7"/>
      <c r="V772" s="7"/>
    </row>
    <row r="773" spans="10:22" ht="12.75">
      <c r="J773" s="7"/>
      <c r="K773" s="7"/>
      <c r="L773" s="7"/>
      <c r="M773" s="7"/>
      <c r="O773" s="7"/>
      <c r="P773" s="7"/>
      <c r="Q773" s="7"/>
      <c r="S773" s="7"/>
      <c r="U773" s="7"/>
      <c r="V773" s="7"/>
    </row>
    <row r="774" spans="10:22" ht="12.75">
      <c r="J774" s="7"/>
      <c r="K774" s="7"/>
      <c r="L774" s="7"/>
      <c r="M774" s="7"/>
      <c r="O774" s="7"/>
      <c r="P774" s="7"/>
      <c r="Q774" s="7"/>
      <c r="S774" s="7"/>
      <c r="U774" s="7"/>
      <c r="V774" s="7"/>
    </row>
    <row r="775" spans="10:22" ht="12.75">
      <c r="J775" s="7"/>
      <c r="K775" s="7"/>
      <c r="L775" s="7"/>
      <c r="M775" s="7"/>
      <c r="O775" s="7"/>
      <c r="P775" s="7"/>
      <c r="Q775" s="7"/>
      <c r="S775" s="7"/>
      <c r="U775" s="7"/>
      <c r="V775" s="7"/>
    </row>
    <row r="776" spans="10:22" ht="12.75">
      <c r="J776" s="7"/>
      <c r="K776" s="7"/>
      <c r="L776" s="7"/>
      <c r="M776" s="7"/>
      <c r="O776" s="7"/>
      <c r="P776" s="7"/>
      <c r="Q776" s="7"/>
      <c r="S776" s="7"/>
      <c r="U776" s="7"/>
      <c r="V776" s="7"/>
    </row>
    <row r="777" spans="10:22" ht="12.75">
      <c r="J777" s="7"/>
      <c r="K777" s="7"/>
      <c r="L777" s="7"/>
      <c r="M777" s="7"/>
      <c r="O777" s="7"/>
      <c r="P777" s="7"/>
      <c r="Q777" s="7"/>
      <c r="S777" s="7"/>
      <c r="U777" s="7"/>
      <c r="V777" s="7"/>
    </row>
    <row r="778" spans="10:22" ht="12.75">
      <c r="J778" s="7"/>
      <c r="K778" s="7"/>
      <c r="L778" s="7"/>
      <c r="M778" s="7"/>
      <c r="O778" s="7"/>
      <c r="P778" s="7"/>
      <c r="Q778" s="7"/>
      <c r="S778" s="7"/>
      <c r="U778" s="7"/>
      <c r="V778" s="7"/>
    </row>
    <row r="779" spans="10:22" ht="12.75">
      <c r="J779" s="7"/>
      <c r="K779" s="7"/>
      <c r="L779" s="7"/>
      <c r="M779" s="7"/>
      <c r="O779" s="7"/>
      <c r="P779" s="7"/>
      <c r="Q779" s="7"/>
      <c r="S779" s="7"/>
      <c r="U779" s="7"/>
      <c r="V779" s="7"/>
    </row>
    <row r="780" spans="10:22" ht="12.75">
      <c r="J780" s="7"/>
      <c r="K780" s="7"/>
      <c r="L780" s="7"/>
      <c r="M780" s="7"/>
      <c r="O780" s="7"/>
      <c r="P780" s="7"/>
      <c r="Q780" s="7"/>
      <c r="S780" s="7"/>
      <c r="U780" s="7"/>
      <c r="V780" s="7"/>
    </row>
    <row r="781" spans="10:22" ht="12.75">
      <c r="J781" s="7"/>
      <c r="K781" s="7"/>
      <c r="L781" s="7"/>
      <c r="M781" s="7"/>
      <c r="O781" s="7"/>
      <c r="P781" s="7"/>
      <c r="Q781" s="7"/>
      <c r="S781" s="7"/>
      <c r="U781" s="7"/>
      <c r="V781" s="7"/>
    </row>
    <row r="782" spans="10:22" ht="12.75">
      <c r="J782" s="7"/>
      <c r="K782" s="7"/>
      <c r="L782" s="7"/>
      <c r="M782" s="7"/>
      <c r="O782" s="7"/>
      <c r="P782" s="7"/>
      <c r="Q782" s="7"/>
      <c r="S782" s="7"/>
      <c r="U782" s="7"/>
      <c r="V782" s="7"/>
    </row>
    <row r="783" spans="10:22" ht="12.75">
      <c r="J783" s="7"/>
      <c r="K783" s="7"/>
      <c r="L783" s="7"/>
      <c r="M783" s="7"/>
      <c r="O783" s="7"/>
      <c r="P783" s="7"/>
      <c r="Q783" s="7"/>
      <c r="S783" s="7"/>
      <c r="U783" s="7"/>
      <c r="V783" s="7"/>
    </row>
    <row r="784" spans="10:22" ht="12.75">
      <c r="J784" s="7"/>
      <c r="K784" s="7"/>
      <c r="L784" s="7"/>
      <c r="M784" s="7"/>
      <c r="O784" s="7"/>
      <c r="P784" s="7"/>
      <c r="Q784" s="7"/>
      <c r="S784" s="7"/>
      <c r="U784" s="7"/>
      <c r="V784" s="7"/>
    </row>
    <row r="785" spans="10:22" ht="12.75">
      <c r="J785" s="7"/>
      <c r="K785" s="7"/>
      <c r="L785" s="7"/>
      <c r="M785" s="7"/>
      <c r="O785" s="7"/>
      <c r="P785" s="7"/>
      <c r="Q785" s="7"/>
      <c r="S785" s="7"/>
      <c r="U785" s="7"/>
      <c r="V785" s="7"/>
    </row>
    <row r="786" spans="10:22" ht="12.75">
      <c r="J786" s="7"/>
      <c r="K786" s="7"/>
      <c r="L786" s="7"/>
      <c r="M786" s="7"/>
      <c r="O786" s="7"/>
      <c r="P786" s="7"/>
      <c r="Q786" s="7"/>
      <c r="S786" s="7"/>
      <c r="U786" s="7"/>
      <c r="V786" s="7"/>
    </row>
    <row r="787" spans="10:22" ht="12.75">
      <c r="J787" s="7"/>
      <c r="K787" s="7"/>
      <c r="L787" s="7"/>
      <c r="M787" s="7"/>
      <c r="O787" s="7"/>
      <c r="P787" s="7"/>
      <c r="Q787" s="7"/>
      <c r="S787" s="7"/>
      <c r="U787" s="7"/>
      <c r="V787" s="7"/>
    </row>
    <row r="788" spans="10:22" ht="12.75">
      <c r="J788" s="7"/>
      <c r="K788" s="7"/>
      <c r="L788" s="7"/>
      <c r="M788" s="7"/>
      <c r="O788" s="7"/>
      <c r="P788" s="7"/>
      <c r="Q788" s="7"/>
      <c r="S788" s="7"/>
      <c r="U788" s="7"/>
      <c r="V788" s="7"/>
    </row>
    <row r="789" spans="10:22" ht="12.75">
      <c r="J789" s="7"/>
      <c r="K789" s="7"/>
      <c r="L789" s="7"/>
      <c r="M789" s="7"/>
      <c r="O789" s="7"/>
      <c r="P789" s="7"/>
      <c r="Q789" s="7"/>
      <c r="S789" s="7"/>
      <c r="U789" s="7"/>
      <c r="V789" s="7"/>
    </row>
    <row r="790" spans="10:22" ht="12.75">
      <c r="J790" s="7"/>
      <c r="K790" s="7"/>
      <c r="L790" s="7"/>
      <c r="M790" s="7"/>
      <c r="O790" s="7"/>
      <c r="P790" s="7"/>
      <c r="Q790" s="7"/>
      <c r="S790" s="7"/>
      <c r="U790" s="7"/>
      <c r="V790" s="7"/>
    </row>
    <row r="791" spans="10:22" ht="12.75">
      <c r="J791" s="7"/>
      <c r="K791" s="7"/>
      <c r="L791" s="7"/>
      <c r="M791" s="7"/>
      <c r="O791" s="7"/>
      <c r="P791" s="7"/>
      <c r="Q791" s="7"/>
      <c r="S791" s="7"/>
      <c r="U791" s="7"/>
      <c r="V791" s="7"/>
    </row>
    <row r="792" spans="10:22" ht="12.75">
      <c r="J792" s="7"/>
      <c r="K792" s="7"/>
      <c r="L792" s="7"/>
      <c r="M792" s="7"/>
      <c r="O792" s="7"/>
      <c r="P792" s="7"/>
      <c r="Q792" s="7"/>
      <c r="S792" s="7"/>
      <c r="U792" s="7"/>
      <c r="V792" s="7"/>
    </row>
    <row r="793" spans="10:22" ht="12.75">
      <c r="J793" s="7"/>
      <c r="K793" s="7"/>
      <c r="L793" s="7"/>
      <c r="M793" s="7"/>
      <c r="O793" s="7"/>
      <c r="P793" s="7"/>
      <c r="Q793" s="7"/>
      <c r="S793" s="7"/>
      <c r="U793" s="7"/>
      <c r="V793" s="7"/>
    </row>
    <row r="794" spans="10:22" ht="12.75">
      <c r="J794" s="7"/>
      <c r="K794" s="7"/>
      <c r="L794" s="7"/>
      <c r="M794" s="7"/>
      <c r="O794" s="7"/>
      <c r="P794" s="7"/>
      <c r="Q794" s="7"/>
      <c r="S794" s="7"/>
      <c r="U794" s="7"/>
      <c r="V794" s="7"/>
    </row>
    <row r="795" spans="10:22" ht="12.75">
      <c r="J795" s="7"/>
      <c r="K795" s="7"/>
      <c r="L795" s="7"/>
      <c r="M795" s="7"/>
      <c r="O795" s="7"/>
      <c r="P795" s="7"/>
      <c r="Q795" s="7"/>
      <c r="S795" s="7"/>
      <c r="U795" s="7"/>
      <c r="V795" s="7"/>
    </row>
    <row r="796" spans="10:22" ht="12.75">
      <c r="J796" s="7"/>
      <c r="K796" s="7"/>
      <c r="L796" s="7"/>
      <c r="M796" s="7"/>
      <c r="O796" s="7"/>
      <c r="P796" s="7"/>
      <c r="Q796" s="7"/>
      <c r="S796" s="7"/>
      <c r="U796" s="7"/>
      <c r="V796" s="7"/>
    </row>
    <row r="797" spans="10:22" ht="12.75">
      <c r="J797" s="7"/>
      <c r="K797" s="7"/>
      <c r="L797" s="7"/>
      <c r="M797" s="7"/>
      <c r="O797" s="7"/>
      <c r="P797" s="7"/>
      <c r="Q797" s="7"/>
      <c r="S797" s="7"/>
      <c r="U797" s="7"/>
      <c r="V797" s="7"/>
    </row>
    <row r="798" spans="10:22" ht="12.75">
      <c r="J798" s="7"/>
      <c r="K798" s="7"/>
      <c r="L798" s="7"/>
      <c r="M798" s="7"/>
      <c r="O798" s="7"/>
      <c r="P798" s="7"/>
      <c r="Q798" s="7"/>
      <c r="S798" s="7"/>
      <c r="U798" s="7"/>
      <c r="V798" s="7"/>
    </row>
    <row r="799" spans="10:22" ht="12.75">
      <c r="J799" s="7"/>
      <c r="K799" s="7"/>
      <c r="L799" s="7"/>
      <c r="M799" s="7"/>
      <c r="O799" s="7"/>
      <c r="P799" s="7"/>
      <c r="Q799" s="7"/>
      <c r="S799" s="7"/>
      <c r="U799" s="7"/>
      <c r="V799" s="7"/>
    </row>
    <row r="800" spans="10:22" ht="12.75">
      <c r="J800" s="7"/>
      <c r="K800" s="7"/>
      <c r="L800" s="7"/>
      <c r="M800" s="7"/>
      <c r="O800" s="7"/>
      <c r="P800" s="7"/>
      <c r="Q800" s="7"/>
      <c r="S800" s="7"/>
      <c r="U800" s="7"/>
      <c r="V800" s="7"/>
    </row>
    <row r="801" spans="10:22" ht="12.75">
      <c r="J801" s="7"/>
      <c r="K801" s="7"/>
      <c r="L801" s="7"/>
      <c r="M801" s="7"/>
      <c r="O801" s="7"/>
      <c r="P801" s="7"/>
      <c r="Q801" s="7"/>
      <c r="S801" s="7"/>
      <c r="U801" s="7"/>
      <c r="V801" s="7"/>
    </row>
    <row r="802" spans="10:22" ht="12.75">
      <c r="J802" s="7"/>
      <c r="K802" s="7"/>
      <c r="L802" s="7"/>
      <c r="M802" s="7"/>
      <c r="O802" s="7"/>
      <c r="P802" s="7"/>
      <c r="Q802" s="7"/>
      <c r="S802" s="7"/>
      <c r="U802" s="7"/>
      <c r="V802" s="7"/>
    </row>
    <row r="803" spans="10:22" ht="12.75">
      <c r="J803" s="7"/>
      <c r="K803" s="7"/>
      <c r="L803" s="7"/>
      <c r="M803" s="7"/>
      <c r="O803" s="7"/>
      <c r="P803" s="7"/>
      <c r="Q803" s="7"/>
      <c r="S803" s="7"/>
      <c r="U803" s="7"/>
      <c r="V803" s="7"/>
    </row>
    <row r="804" spans="10:22" ht="12.75">
      <c r="J804" s="7"/>
      <c r="K804" s="7"/>
      <c r="L804" s="7"/>
      <c r="M804" s="7"/>
      <c r="O804" s="7"/>
      <c r="P804" s="7"/>
      <c r="Q804" s="7"/>
      <c r="S804" s="7"/>
      <c r="U804" s="7"/>
      <c r="V804" s="7"/>
    </row>
    <row r="805" spans="10:22" ht="12.75">
      <c r="J805" s="7"/>
      <c r="K805" s="7"/>
      <c r="L805" s="7"/>
      <c r="M805" s="7"/>
      <c r="O805" s="7"/>
      <c r="P805" s="7"/>
      <c r="Q805" s="7"/>
      <c r="S805" s="7"/>
      <c r="U805" s="7"/>
      <c r="V805" s="7"/>
    </row>
    <row r="806" spans="10:22" ht="12.75">
      <c r="J806" s="7"/>
      <c r="K806" s="7"/>
      <c r="L806" s="7"/>
      <c r="M806" s="7"/>
      <c r="O806" s="7"/>
      <c r="P806" s="7"/>
      <c r="Q806" s="7"/>
      <c r="S806" s="7"/>
      <c r="U806" s="7"/>
      <c r="V806" s="7"/>
    </row>
    <row r="807" spans="10:22" ht="12.75">
      <c r="J807" s="7"/>
      <c r="K807" s="7"/>
      <c r="L807" s="7"/>
      <c r="M807" s="7"/>
      <c r="O807" s="7"/>
      <c r="P807" s="7"/>
      <c r="Q807" s="7"/>
      <c r="S807" s="7"/>
      <c r="U807" s="7"/>
      <c r="V807" s="7"/>
    </row>
    <row r="808" spans="10:22" ht="12.75">
      <c r="J808" s="7"/>
      <c r="K808" s="7"/>
      <c r="L808" s="7"/>
      <c r="M808" s="7"/>
      <c r="O808" s="7"/>
      <c r="P808" s="7"/>
      <c r="Q808" s="7"/>
      <c r="S808" s="7"/>
      <c r="U808" s="7"/>
      <c r="V808" s="7"/>
    </row>
    <row r="809" spans="10:22" ht="12.75">
      <c r="J809" s="7"/>
      <c r="K809" s="7"/>
      <c r="L809" s="7"/>
      <c r="M809" s="7"/>
      <c r="O809" s="7"/>
      <c r="P809" s="7"/>
      <c r="Q809" s="7"/>
      <c r="S809" s="7"/>
      <c r="U809" s="7"/>
      <c r="V809" s="7"/>
    </row>
    <row r="810" spans="10:22" ht="12.75">
      <c r="J810" s="7"/>
      <c r="K810" s="7"/>
      <c r="L810" s="7"/>
      <c r="M810" s="7"/>
      <c r="O810" s="7"/>
      <c r="P810" s="7"/>
      <c r="Q810" s="7"/>
      <c r="S810" s="7"/>
      <c r="U810" s="7"/>
      <c r="V810" s="7"/>
    </row>
    <row r="811" spans="10:22" ht="12.75">
      <c r="J811" s="7"/>
      <c r="K811" s="7"/>
      <c r="L811" s="7"/>
      <c r="M811" s="7"/>
      <c r="O811" s="7"/>
      <c r="P811" s="7"/>
      <c r="Q811" s="7"/>
      <c r="S811" s="7"/>
      <c r="U811" s="7"/>
      <c r="V811" s="7"/>
    </row>
    <row r="812" spans="10:22" ht="12.75">
      <c r="J812" s="7"/>
      <c r="K812" s="7"/>
      <c r="L812" s="7"/>
      <c r="M812" s="7"/>
      <c r="O812" s="7"/>
      <c r="P812" s="7"/>
      <c r="Q812" s="7"/>
      <c r="S812" s="7"/>
      <c r="U812" s="7"/>
      <c r="V812" s="7"/>
    </row>
    <row r="813" spans="10:22" ht="12.75">
      <c r="J813" s="7"/>
      <c r="K813" s="7"/>
      <c r="L813" s="7"/>
      <c r="M813" s="7"/>
      <c r="O813" s="7"/>
      <c r="P813" s="7"/>
      <c r="Q813" s="7"/>
      <c r="S813" s="7"/>
      <c r="U813" s="7"/>
      <c r="V813" s="7"/>
    </row>
    <row r="814" spans="10:22" ht="12.75">
      <c r="J814" s="7"/>
      <c r="K814" s="7"/>
      <c r="L814" s="7"/>
      <c r="M814" s="7"/>
      <c r="O814" s="7"/>
      <c r="P814" s="7"/>
      <c r="Q814" s="7"/>
      <c r="S814" s="7"/>
      <c r="U814" s="7"/>
      <c r="V814" s="7"/>
    </row>
    <row r="815" spans="10:22" ht="12.75">
      <c r="J815" s="7"/>
      <c r="K815" s="7"/>
      <c r="L815" s="7"/>
      <c r="M815" s="7"/>
      <c r="O815" s="7"/>
      <c r="P815" s="7"/>
      <c r="Q815" s="7"/>
      <c r="S815" s="7"/>
      <c r="U815" s="7"/>
      <c r="V815" s="7"/>
    </row>
    <row r="816" spans="10:22" ht="12.75">
      <c r="J816" s="7"/>
      <c r="K816" s="7"/>
      <c r="L816" s="7"/>
      <c r="M816" s="7"/>
      <c r="O816" s="7"/>
      <c r="P816" s="7"/>
      <c r="Q816" s="7"/>
      <c r="S816" s="7"/>
      <c r="U816" s="7"/>
      <c r="V816" s="7"/>
    </row>
    <row r="817" spans="10:22" ht="12.75">
      <c r="J817" s="7"/>
      <c r="K817" s="7"/>
      <c r="L817" s="7"/>
      <c r="M817" s="7"/>
      <c r="O817" s="7"/>
      <c r="P817" s="7"/>
      <c r="Q817" s="7"/>
      <c r="S817" s="7"/>
      <c r="U817" s="7"/>
      <c r="V817" s="7"/>
    </row>
    <row r="818" spans="10:22" ht="12.75">
      <c r="J818" s="7"/>
      <c r="K818" s="7"/>
      <c r="L818" s="7"/>
      <c r="M818" s="7"/>
      <c r="O818" s="7"/>
      <c r="P818" s="7"/>
      <c r="Q818" s="7"/>
      <c r="S818" s="7"/>
      <c r="U818" s="7"/>
      <c r="V818" s="7"/>
    </row>
    <row r="819" spans="10:22" ht="12.75">
      <c r="J819" s="7"/>
      <c r="K819" s="7"/>
      <c r="L819" s="7"/>
      <c r="M819" s="7"/>
      <c r="O819" s="7"/>
      <c r="P819" s="7"/>
      <c r="Q819" s="7"/>
      <c r="S819" s="7"/>
      <c r="U819" s="7"/>
      <c r="V819" s="7"/>
    </row>
    <row r="820" spans="10:22" ht="12.75">
      <c r="J820" s="7"/>
      <c r="K820" s="7"/>
      <c r="L820" s="7"/>
      <c r="M820" s="7"/>
      <c r="O820" s="7"/>
      <c r="P820" s="7"/>
      <c r="Q820" s="7"/>
      <c r="S820" s="7"/>
      <c r="U820" s="7"/>
      <c r="V820" s="7"/>
    </row>
    <row r="821" spans="10:22" ht="12.75">
      <c r="J821" s="7"/>
      <c r="K821" s="7"/>
      <c r="L821" s="7"/>
      <c r="M821" s="7"/>
      <c r="O821" s="7"/>
      <c r="P821" s="7"/>
      <c r="Q821" s="7"/>
      <c r="S821" s="7"/>
      <c r="U821" s="7"/>
      <c r="V821" s="7"/>
    </row>
    <row r="822" spans="10:22" ht="12.75">
      <c r="J822" s="7"/>
      <c r="K822" s="7"/>
      <c r="L822" s="7"/>
      <c r="M822" s="7"/>
      <c r="O822" s="7"/>
      <c r="P822" s="7"/>
      <c r="Q822" s="7"/>
      <c r="S822" s="7"/>
      <c r="U822" s="7"/>
      <c r="V822" s="7"/>
    </row>
    <row r="823" spans="10:22" ht="12.75">
      <c r="J823" s="7"/>
      <c r="K823" s="7"/>
      <c r="L823" s="7"/>
      <c r="M823" s="7"/>
      <c r="O823" s="7"/>
      <c r="P823" s="7"/>
      <c r="Q823" s="7"/>
      <c r="S823" s="7"/>
      <c r="U823" s="7"/>
      <c r="V823" s="7"/>
    </row>
    <row r="824" spans="10:22" ht="12.75">
      <c r="J824" s="7"/>
      <c r="K824" s="7"/>
      <c r="L824" s="7"/>
      <c r="M824" s="7"/>
      <c r="O824" s="7"/>
      <c r="P824" s="7"/>
      <c r="Q824" s="7"/>
      <c r="S824" s="7"/>
      <c r="U824" s="7"/>
      <c r="V824" s="7"/>
    </row>
    <row r="825" spans="10:22" ht="12.75">
      <c r="J825" s="7"/>
      <c r="K825" s="7"/>
      <c r="L825" s="7"/>
      <c r="M825" s="7"/>
      <c r="O825" s="7"/>
      <c r="P825" s="7"/>
      <c r="Q825" s="7"/>
      <c r="S825" s="7"/>
      <c r="U825" s="7"/>
      <c r="V825" s="7"/>
    </row>
    <row r="826" spans="10:22" ht="12.75">
      <c r="J826" s="7"/>
      <c r="K826" s="7"/>
      <c r="L826" s="7"/>
      <c r="M826" s="7"/>
      <c r="O826" s="7"/>
      <c r="P826" s="7"/>
      <c r="Q826" s="7"/>
      <c r="S826" s="7"/>
      <c r="U826" s="7"/>
      <c r="V826" s="7"/>
    </row>
    <row r="827" spans="10:22" ht="12.75">
      <c r="J827" s="7"/>
      <c r="K827" s="7"/>
      <c r="L827" s="7"/>
      <c r="M827" s="7"/>
      <c r="O827" s="7"/>
      <c r="P827" s="7"/>
      <c r="Q827" s="7"/>
      <c r="S827" s="7"/>
      <c r="U827" s="7"/>
      <c r="V827" s="7"/>
    </row>
    <row r="828" spans="10:22" ht="12.75">
      <c r="J828" s="7"/>
      <c r="K828" s="7"/>
      <c r="L828" s="7"/>
      <c r="M828" s="7"/>
      <c r="O828" s="7"/>
      <c r="P828" s="7"/>
      <c r="Q828" s="7"/>
      <c r="S828" s="7"/>
      <c r="U828" s="7"/>
      <c r="V828" s="7"/>
    </row>
    <row r="829" spans="10:22" ht="12.75">
      <c r="J829" s="7"/>
      <c r="K829" s="7"/>
      <c r="L829" s="7"/>
      <c r="M829" s="7"/>
      <c r="O829" s="7"/>
      <c r="P829" s="7"/>
      <c r="Q829" s="7"/>
      <c r="S829" s="7"/>
      <c r="U829" s="7"/>
      <c r="V829" s="7"/>
    </row>
    <row r="830" spans="10:22" ht="12.75">
      <c r="J830" s="7"/>
      <c r="K830" s="7"/>
      <c r="L830" s="7"/>
      <c r="M830" s="7"/>
      <c r="O830" s="7"/>
      <c r="P830" s="7"/>
      <c r="Q830" s="7"/>
      <c r="S830" s="7"/>
      <c r="U830" s="7"/>
      <c r="V830" s="7"/>
    </row>
    <row r="831" spans="10:22" ht="12.75">
      <c r="J831" s="7"/>
      <c r="K831" s="7"/>
      <c r="L831" s="7"/>
      <c r="M831" s="7"/>
      <c r="O831" s="7"/>
      <c r="P831" s="7"/>
      <c r="Q831" s="7"/>
      <c r="S831" s="7"/>
      <c r="U831" s="7"/>
      <c r="V831" s="7"/>
    </row>
    <row r="832" spans="10:22" ht="12.75">
      <c r="J832" s="7"/>
      <c r="K832" s="7"/>
      <c r="L832" s="7"/>
      <c r="M832" s="7"/>
      <c r="O832" s="7"/>
      <c r="P832" s="7"/>
      <c r="Q832" s="7"/>
      <c r="S832" s="7"/>
      <c r="U832" s="7"/>
      <c r="V832" s="7"/>
    </row>
    <row r="833" spans="10:22" ht="12.75">
      <c r="J833" s="7"/>
      <c r="K833" s="7"/>
      <c r="L833" s="7"/>
      <c r="M833" s="7"/>
      <c r="O833" s="7"/>
      <c r="P833" s="7"/>
      <c r="Q833" s="7"/>
      <c r="S833" s="7"/>
      <c r="U833" s="7"/>
      <c r="V833" s="7"/>
    </row>
    <row r="834" spans="10:22" ht="12.75">
      <c r="J834" s="7"/>
      <c r="K834" s="7"/>
      <c r="L834" s="7"/>
      <c r="M834" s="7"/>
      <c r="O834" s="7"/>
      <c r="P834" s="7"/>
      <c r="Q834" s="7"/>
      <c r="S834" s="7"/>
      <c r="U834" s="7"/>
      <c r="V834" s="7"/>
    </row>
    <row r="835" spans="10:22" ht="12.75">
      <c r="J835" s="7"/>
      <c r="K835" s="7"/>
      <c r="L835" s="7"/>
      <c r="M835" s="7"/>
      <c r="O835" s="7"/>
      <c r="P835" s="7"/>
      <c r="Q835" s="7"/>
      <c r="S835" s="7"/>
      <c r="U835" s="7"/>
      <c r="V835" s="7"/>
    </row>
    <row r="836" spans="10:22" ht="12.75">
      <c r="J836" s="7"/>
      <c r="K836" s="7"/>
      <c r="L836" s="7"/>
      <c r="M836" s="7"/>
      <c r="O836" s="7"/>
      <c r="P836" s="7"/>
      <c r="Q836" s="7"/>
      <c r="S836" s="7"/>
      <c r="U836" s="7"/>
      <c r="V836" s="7"/>
    </row>
    <row r="837" spans="10:22" ht="12.75">
      <c r="J837" s="7"/>
      <c r="K837" s="7"/>
      <c r="L837" s="7"/>
      <c r="M837" s="7"/>
      <c r="O837" s="7"/>
      <c r="P837" s="7"/>
      <c r="Q837" s="7"/>
      <c r="S837" s="7"/>
      <c r="U837" s="7"/>
      <c r="V837" s="7"/>
    </row>
    <row r="838" spans="10:22" ht="12.75">
      <c r="J838" s="7"/>
      <c r="K838" s="7"/>
      <c r="L838" s="7"/>
      <c r="M838" s="7"/>
      <c r="O838" s="7"/>
      <c r="P838" s="7"/>
      <c r="Q838" s="7"/>
      <c r="S838" s="7"/>
      <c r="U838" s="7"/>
      <c r="V838" s="7"/>
    </row>
    <row r="839" spans="10:22" ht="12.75">
      <c r="J839" s="7"/>
      <c r="K839" s="7"/>
      <c r="L839" s="7"/>
      <c r="M839" s="7"/>
      <c r="O839" s="7"/>
      <c r="P839" s="7"/>
      <c r="Q839" s="7"/>
      <c r="S839" s="7"/>
      <c r="U839" s="7"/>
      <c r="V839" s="7"/>
    </row>
    <row r="840" spans="10:22" ht="12.75">
      <c r="J840" s="7"/>
      <c r="K840" s="7"/>
      <c r="L840" s="7"/>
      <c r="M840" s="7"/>
      <c r="O840" s="7"/>
      <c r="P840" s="7"/>
      <c r="Q840" s="7"/>
      <c r="S840" s="7"/>
      <c r="U840" s="7"/>
      <c r="V840" s="7"/>
    </row>
    <row r="841" spans="10:22" ht="12.75">
      <c r="J841" s="7"/>
      <c r="K841" s="7"/>
      <c r="L841" s="7"/>
      <c r="M841" s="7"/>
      <c r="O841" s="7"/>
      <c r="P841" s="7"/>
      <c r="Q841" s="7"/>
      <c r="S841" s="7"/>
      <c r="U841" s="7"/>
      <c r="V841" s="7"/>
    </row>
    <row r="842" spans="10:22" ht="12.75">
      <c r="J842" s="7"/>
      <c r="K842" s="7"/>
      <c r="L842" s="7"/>
      <c r="M842" s="7"/>
      <c r="O842" s="7"/>
      <c r="P842" s="7"/>
      <c r="Q842" s="7"/>
      <c r="S842" s="7"/>
      <c r="U842" s="7"/>
      <c r="V842" s="7"/>
    </row>
    <row r="843" spans="10:22" ht="12.75">
      <c r="J843" s="7"/>
      <c r="K843" s="7"/>
      <c r="L843" s="7"/>
      <c r="M843" s="7"/>
      <c r="O843" s="7"/>
      <c r="P843" s="7"/>
      <c r="Q843" s="7"/>
      <c r="S843" s="7"/>
      <c r="U843" s="7"/>
      <c r="V843" s="7"/>
    </row>
    <row r="844" spans="10:22" ht="12.75">
      <c r="J844" s="7"/>
      <c r="K844" s="7"/>
      <c r="L844" s="7"/>
      <c r="M844" s="7"/>
      <c r="O844" s="7"/>
      <c r="P844" s="7"/>
      <c r="Q844" s="7"/>
      <c r="S844" s="7"/>
      <c r="U844" s="7"/>
      <c r="V844" s="7"/>
    </row>
    <row r="845" spans="10:22" ht="12.75">
      <c r="J845" s="7"/>
      <c r="K845" s="7"/>
      <c r="L845" s="7"/>
      <c r="M845" s="7"/>
      <c r="O845" s="7"/>
      <c r="P845" s="7"/>
      <c r="Q845" s="7"/>
      <c r="S845" s="7"/>
      <c r="U845" s="7"/>
      <c r="V845" s="7"/>
    </row>
    <row r="846" spans="10:22" ht="12.75">
      <c r="J846" s="7"/>
      <c r="K846" s="7"/>
      <c r="L846" s="7"/>
      <c r="M846" s="7"/>
      <c r="O846" s="7"/>
      <c r="P846" s="7"/>
      <c r="Q846" s="7"/>
      <c r="S846" s="7"/>
      <c r="U846" s="7"/>
      <c r="V846" s="7"/>
    </row>
    <row r="847" spans="10:22" ht="12.75">
      <c r="J847" s="7"/>
      <c r="K847" s="7"/>
      <c r="L847" s="7"/>
      <c r="M847" s="7"/>
      <c r="O847" s="7"/>
      <c r="P847" s="7"/>
      <c r="Q847" s="7"/>
      <c r="S847" s="7"/>
      <c r="U847" s="7"/>
      <c r="V847" s="7"/>
    </row>
    <row r="848" spans="10:22" ht="12.75">
      <c r="J848" s="7"/>
      <c r="K848" s="7"/>
      <c r="L848" s="7"/>
      <c r="M848" s="7"/>
      <c r="O848" s="7"/>
      <c r="P848" s="7"/>
      <c r="Q848" s="7"/>
      <c r="S848" s="7"/>
      <c r="U848" s="7"/>
      <c r="V848" s="7"/>
    </row>
    <row r="849" spans="10:22" ht="12.75">
      <c r="J849" s="7"/>
      <c r="K849" s="7"/>
      <c r="L849" s="7"/>
      <c r="M849" s="7"/>
      <c r="O849" s="7"/>
      <c r="P849" s="7"/>
      <c r="Q849" s="7"/>
      <c r="S849" s="7"/>
      <c r="U849" s="7"/>
      <c r="V849" s="7"/>
    </row>
    <row r="850" spans="10:22" ht="12.75">
      <c r="J850" s="7"/>
      <c r="K850" s="7"/>
      <c r="L850" s="7"/>
      <c r="M850" s="7"/>
      <c r="O850" s="7"/>
      <c r="P850" s="7"/>
      <c r="Q850" s="7"/>
      <c r="S850" s="7"/>
      <c r="U850" s="7"/>
      <c r="V850" s="7"/>
    </row>
    <row r="851" spans="10:22" ht="12.75">
      <c r="J851" s="7"/>
      <c r="K851" s="7"/>
      <c r="L851" s="7"/>
      <c r="M851" s="7"/>
      <c r="O851" s="7"/>
      <c r="P851" s="7"/>
      <c r="Q851" s="7"/>
      <c r="S851" s="7"/>
      <c r="U851" s="7"/>
      <c r="V851" s="7"/>
    </row>
    <row r="852" spans="10:22" ht="12.75">
      <c r="J852" s="7"/>
      <c r="K852" s="7"/>
      <c r="L852" s="7"/>
      <c r="M852" s="7"/>
      <c r="O852" s="7"/>
      <c r="P852" s="7"/>
      <c r="Q852" s="7"/>
      <c r="S852" s="7"/>
      <c r="U852" s="7"/>
      <c r="V852" s="7"/>
    </row>
    <row r="853" spans="10:22" ht="12.75">
      <c r="J853" s="7"/>
      <c r="K853" s="7"/>
      <c r="L853" s="7"/>
      <c r="M853" s="7"/>
      <c r="O853" s="7"/>
      <c r="P853" s="7"/>
      <c r="Q853" s="7"/>
      <c r="S853" s="7"/>
      <c r="U853" s="7"/>
      <c r="V853" s="7"/>
    </row>
    <row r="854" spans="10:22" ht="12.75">
      <c r="J854" s="7"/>
      <c r="K854" s="7"/>
      <c r="L854" s="7"/>
      <c r="M854" s="7"/>
      <c r="O854" s="7"/>
      <c r="P854" s="7"/>
      <c r="Q854" s="7"/>
      <c r="S854" s="7"/>
      <c r="U854" s="7"/>
      <c r="V854" s="7"/>
    </row>
    <row r="855" spans="10:22" ht="12.75">
      <c r="J855" s="7"/>
      <c r="K855" s="7"/>
      <c r="L855" s="7"/>
      <c r="M855" s="7"/>
      <c r="O855" s="7"/>
      <c r="P855" s="7"/>
      <c r="Q855" s="7"/>
      <c r="S855" s="7"/>
      <c r="U855" s="7"/>
      <c r="V855" s="7"/>
    </row>
    <row r="856" spans="10:22" ht="12.75">
      <c r="J856" s="7"/>
      <c r="K856" s="7"/>
      <c r="L856" s="7"/>
      <c r="M856" s="7"/>
      <c r="O856" s="7"/>
      <c r="P856" s="7"/>
      <c r="Q856" s="7"/>
      <c r="S856" s="7"/>
      <c r="U856" s="7"/>
      <c r="V856" s="7"/>
    </row>
    <row r="857" spans="10:22" ht="12.75">
      <c r="J857" s="7"/>
      <c r="K857" s="7"/>
      <c r="L857" s="7"/>
      <c r="M857" s="7"/>
      <c r="O857" s="7"/>
      <c r="P857" s="7"/>
      <c r="Q857" s="7"/>
      <c r="S857" s="7"/>
      <c r="U857" s="7"/>
      <c r="V857" s="7"/>
    </row>
    <row r="858" spans="10:22" ht="12.75">
      <c r="J858" s="7"/>
      <c r="K858" s="7"/>
      <c r="L858" s="7"/>
      <c r="M858" s="7"/>
      <c r="O858" s="7"/>
      <c r="P858" s="7"/>
      <c r="Q858" s="7"/>
      <c r="S858" s="7"/>
      <c r="U858" s="7"/>
      <c r="V858" s="7"/>
    </row>
    <row r="859" spans="10:22" ht="12.75">
      <c r="J859" s="7"/>
      <c r="K859" s="7"/>
      <c r="L859" s="7"/>
      <c r="M859" s="7"/>
      <c r="O859" s="7"/>
      <c r="P859" s="7"/>
      <c r="Q859" s="7"/>
      <c r="S859" s="7"/>
      <c r="U859" s="7"/>
      <c r="V859" s="7"/>
    </row>
    <row r="860" spans="10:22" ht="12.75">
      <c r="J860" s="7"/>
      <c r="K860" s="7"/>
      <c r="L860" s="7"/>
      <c r="M860" s="7"/>
      <c r="O860" s="7"/>
      <c r="P860" s="7"/>
      <c r="Q860" s="7"/>
      <c r="S860" s="7"/>
      <c r="U860" s="7"/>
      <c r="V860" s="7"/>
    </row>
    <row r="861" spans="10:22" ht="12.75">
      <c r="J861" s="7"/>
      <c r="K861" s="7"/>
      <c r="L861" s="7"/>
      <c r="M861" s="7"/>
      <c r="O861" s="7"/>
      <c r="P861" s="7"/>
      <c r="Q861" s="7"/>
      <c r="S861" s="7"/>
      <c r="U861" s="7"/>
      <c r="V861" s="7"/>
    </row>
    <row r="862" spans="10:22" ht="12.75">
      <c r="J862" s="7"/>
      <c r="K862" s="7"/>
      <c r="L862" s="7"/>
      <c r="M862" s="7"/>
      <c r="O862" s="7"/>
      <c r="P862" s="7"/>
      <c r="Q862" s="7"/>
      <c r="S862" s="7"/>
      <c r="U862" s="7"/>
      <c r="V862" s="7"/>
    </row>
    <row r="863" spans="10:22" ht="12.75">
      <c r="J863" s="7"/>
      <c r="K863" s="7"/>
      <c r="L863" s="7"/>
      <c r="M863" s="7"/>
      <c r="O863" s="7"/>
      <c r="P863" s="7"/>
      <c r="Q863" s="7"/>
      <c r="S863" s="7"/>
      <c r="U863" s="7"/>
      <c r="V863" s="7"/>
    </row>
    <row r="864" spans="10:22" ht="12.75">
      <c r="J864" s="7"/>
      <c r="K864" s="7"/>
      <c r="L864" s="7"/>
      <c r="M864" s="7"/>
      <c r="O864" s="7"/>
      <c r="P864" s="7"/>
      <c r="Q864" s="7"/>
      <c r="S864" s="7"/>
      <c r="U864" s="7"/>
      <c r="V864" s="7"/>
    </row>
    <row r="865" spans="10:22" ht="12.75">
      <c r="J865" s="7"/>
      <c r="K865" s="7"/>
      <c r="L865" s="7"/>
      <c r="M865" s="7"/>
      <c r="O865" s="7"/>
      <c r="P865" s="7"/>
      <c r="Q865" s="7"/>
      <c r="S865" s="7"/>
      <c r="U865" s="7"/>
      <c r="V865" s="7"/>
    </row>
    <row r="866" spans="10:22" ht="12.75">
      <c r="J866" s="7"/>
      <c r="K866" s="7"/>
      <c r="L866" s="7"/>
      <c r="M866" s="7"/>
      <c r="O866" s="7"/>
      <c r="P866" s="7"/>
      <c r="Q866" s="7"/>
      <c r="S866" s="7"/>
      <c r="U866" s="7"/>
      <c r="V866" s="7"/>
    </row>
    <row r="867" spans="10:22" ht="12.75">
      <c r="J867" s="7"/>
      <c r="K867" s="7"/>
      <c r="L867" s="7"/>
      <c r="M867" s="7"/>
      <c r="O867" s="7"/>
      <c r="P867" s="7"/>
      <c r="Q867" s="7"/>
      <c r="S867" s="7"/>
      <c r="U867" s="7"/>
      <c r="V867" s="7"/>
    </row>
    <row r="868" spans="10:22" ht="12.75">
      <c r="J868" s="7"/>
      <c r="K868" s="7"/>
      <c r="L868" s="7"/>
      <c r="M868" s="7"/>
      <c r="O868" s="7"/>
      <c r="P868" s="7"/>
      <c r="Q868" s="7"/>
      <c r="S868" s="7"/>
      <c r="U868" s="7"/>
      <c r="V868" s="7"/>
    </row>
    <row r="869" spans="10:22" ht="12.75">
      <c r="J869" s="7"/>
      <c r="K869" s="7"/>
      <c r="L869" s="7"/>
      <c r="M869" s="7"/>
      <c r="O869" s="7"/>
      <c r="P869" s="7"/>
      <c r="Q869" s="7"/>
      <c r="S869" s="7"/>
      <c r="U869" s="7"/>
      <c r="V869" s="7"/>
    </row>
    <row r="870" spans="10:22" ht="12.75">
      <c r="J870" s="7"/>
      <c r="K870" s="7"/>
      <c r="L870" s="7"/>
      <c r="M870" s="7"/>
      <c r="O870" s="7"/>
      <c r="P870" s="7"/>
      <c r="Q870" s="7"/>
      <c r="S870" s="7"/>
      <c r="U870" s="7"/>
      <c r="V870" s="7"/>
    </row>
    <row r="871" spans="10:22" ht="12.75">
      <c r="J871" s="7"/>
      <c r="K871" s="7"/>
      <c r="L871" s="7"/>
      <c r="M871" s="7"/>
      <c r="O871" s="7"/>
      <c r="P871" s="7"/>
      <c r="Q871" s="7"/>
      <c r="S871" s="7"/>
      <c r="U871" s="7"/>
      <c r="V871" s="7"/>
    </row>
    <row r="872" spans="10:22" ht="12.75">
      <c r="J872" s="7"/>
      <c r="K872" s="7"/>
      <c r="L872" s="7"/>
      <c r="M872" s="7"/>
      <c r="O872" s="7"/>
      <c r="P872" s="7"/>
      <c r="Q872" s="7"/>
      <c r="S872" s="7"/>
      <c r="U872" s="7"/>
      <c r="V872" s="7"/>
    </row>
    <row r="873" spans="10:22" ht="12.75">
      <c r="J873" s="7"/>
      <c r="K873" s="7"/>
      <c r="L873" s="7"/>
      <c r="M873" s="7"/>
      <c r="O873" s="7"/>
      <c r="P873" s="7"/>
      <c r="Q873" s="7"/>
      <c r="S873" s="7"/>
      <c r="U873" s="7"/>
      <c r="V873" s="7"/>
    </row>
    <row r="874" spans="10:22" ht="12.75">
      <c r="J874" s="7"/>
      <c r="K874" s="7"/>
      <c r="L874" s="7"/>
      <c r="M874" s="7"/>
      <c r="O874" s="7"/>
      <c r="P874" s="7"/>
      <c r="Q874" s="7"/>
      <c r="S874" s="7"/>
      <c r="U874" s="7"/>
      <c r="V874" s="7"/>
    </row>
    <row r="875" spans="10:22" ht="12.75">
      <c r="J875" s="7"/>
      <c r="K875" s="7"/>
      <c r="L875" s="7"/>
      <c r="M875" s="7"/>
      <c r="O875" s="7"/>
      <c r="P875" s="7"/>
      <c r="Q875" s="7"/>
      <c r="S875" s="7"/>
      <c r="U875" s="7"/>
      <c r="V875" s="7"/>
    </row>
    <row r="876" spans="10:22" ht="12.75">
      <c r="J876" s="7"/>
      <c r="K876" s="7"/>
      <c r="L876" s="7"/>
      <c r="M876" s="7"/>
      <c r="O876" s="7"/>
      <c r="P876" s="7"/>
      <c r="Q876" s="7"/>
      <c r="S876" s="7"/>
      <c r="U876" s="7"/>
      <c r="V876" s="7"/>
    </row>
    <row r="877" spans="10:22" ht="12.75">
      <c r="J877" s="7"/>
      <c r="K877" s="7"/>
      <c r="L877" s="7"/>
      <c r="M877" s="7"/>
      <c r="O877" s="7"/>
      <c r="P877" s="7"/>
      <c r="Q877" s="7"/>
      <c r="S877" s="7"/>
      <c r="U877" s="7"/>
      <c r="V877" s="7"/>
    </row>
    <row r="878" spans="10:22" ht="12.75">
      <c r="J878" s="7"/>
      <c r="K878" s="7"/>
      <c r="L878" s="7"/>
      <c r="M878" s="7"/>
      <c r="O878" s="7"/>
      <c r="P878" s="7"/>
      <c r="Q878" s="7"/>
      <c r="S878" s="7"/>
      <c r="U878" s="7"/>
      <c r="V878" s="7"/>
    </row>
    <row r="879" spans="10:22" ht="12.75">
      <c r="J879" s="7"/>
      <c r="K879" s="7"/>
      <c r="L879" s="7"/>
      <c r="M879" s="7"/>
      <c r="O879" s="7"/>
      <c r="P879" s="7"/>
      <c r="Q879" s="7"/>
      <c r="S879" s="7"/>
      <c r="U879" s="7"/>
      <c r="V879" s="7"/>
    </row>
    <row r="880" spans="10:22" ht="12.75">
      <c r="J880" s="7"/>
      <c r="K880" s="7"/>
      <c r="L880" s="7"/>
      <c r="M880" s="7"/>
      <c r="O880" s="7"/>
      <c r="P880" s="7"/>
      <c r="Q880" s="7"/>
      <c r="S880" s="7"/>
      <c r="U880" s="7"/>
      <c r="V880" s="7"/>
    </row>
    <row r="881" spans="10:22" ht="12.75">
      <c r="J881" s="7"/>
      <c r="K881" s="7"/>
      <c r="L881" s="7"/>
      <c r="M881" s="7"/>
      <c r="O881" s="7"/>
      <c r="P881" s="7"/>
      <c r="Q881" s="7"/>
      <c r="S881" s="7"/>
      <c r="U881" s="7"/>
      <c r="V881" s="7"/>
    </row>
    <row r="882" spans="10:22" ht="12.75">
      <c r="J882" s="7"/>
      <c r="K882" s="7"/>
      <c r="L882" s="7"/>
      <c r="M882" s="7"/>
      <c r="O882" s="7"/>
      <c r="P882" s="7"/>
      <c r="Q882" s="7"/>
      <c r="S882" s="7"/>
      <c r="U882" s="7"/>
      <c r="V882" s="7"/>
    </row>
    <row r="883" spans="10:22" ht="12.75">
      <c r="J883" s="7"/>
      <c r="K883" s="7"/>
      <c r="L883" s="7"/>
      <c r="M883" s="7"/>
      <c r="O883" s="7"/>
      <c r="P883" s="7"/>
      <c r="Q883" s="7"/>
      <c r="S883" s="7"/>
      <c r="U883" s="7"/>
      <c r="V883" s="7"/>
    </row>
    <row r="884" spans="10:22" ht="12.75">
      <c r="J884" s="7"/>
      <c r="K884" s="7"/>
      <c r="L884" s="7"/>
      <c r="M884" s="7"/>
      <c r="O884" s="7"/>
      <c r="P884" s="7"/>
      <c r="Q884" s="7"/>
      <c r="S884" s="7"/>
      <c r="U884" s="7"/>
      <c r="V884" s="7"/>
    </row>
    <row r="885" spans="10:22" ht="12.75">
      <c r="J885" s="7"/>
      <c r="K885" s="7"/>
      <c r="L885" s="7"/>
      <c r="M885" s="7"/>
      <c r="O885" s="7"/>
      <c r="P885" s="7"/>
      <c r="Q885" s="7"/>
      <c r="S885" s="7"/>
      <c r="U885" s="7"/>
      <c r="V885" s="7"/>
    </row>
    <row r="886" spans="10:22" ht="12.75">
      <c r="J886" s="7"/>
      <c r="K886" s="7"/>
      <c r="L886" s="7"/>
      <c r="M886" s="7"/>
      <c r="O886" s="7"/>
      <c r="P886" s="7"/>
      <c r="Q886" s="7"/>
      <c r="S886" s="7"/>
      <c r="U886" s="7"/>
      <c r="V886" s="7"/>
    </row>
    <row r="887" spans="10:22" ht="12.75">
      <c r="J887" s="7"/>
      <c r="K887" s="7"/>
      <c r="L887" s="7"/>
      <c r="M887" s="7"/>
      <c r="O887" s="7"/>
      <c r="P887" s="7"/>
      <c r="Q887" s="7"/>
      <c r="S887" s="7"/>
      <c r="U887" s="7"/>
      <c r="V887" s="7"/>
    </row>
    <row r="888" spans="10:22" ht="12.75">
      <c r="J888" s="7"/>
      <c r="K888" s="7"/>
      <c r="L888" s="7"/>
      <c r="M888" s="7"/>
      <c r="O888" s="7"/>
      <c r="P888" s="7"/>
      <c r="Q888" s="7"/>
      <c r="S888" s="7"/>
      <c r="U888" s="7"/>
      <c r="V888" s="7"/>
    </row>
    <row r="889" spans="10:22" ht="12.75">
      <c r="J889" s="7"/>
      <c r="K889" s="7"/>
      <c r="L889" s="7"/>
      <c r="M889" s="7"/>
      <c r="O889" s="7"/>
      <c r="P889" s="7"/>
      <c r="Q889" s="7"/>
      <c r="S889" s="7"/>
      <c r="U889" s="7"/>
      <c r="V889" s="7"/>
    </row>
    <row r="890" spans="10:22" ht="12.75">
      <c r="J890" s="7"/>
      <c r="K890" s="7"/>
      <c r="L890" s="7"/>
      <c r="M890" s="7"/>
      <c r="O890" s="7"/>
      <c r="P890" s="7"/>
      <c r="Q890" s="7"/>
      <c r="S890" s="7"/>
      <c r="U890" s="7"/>
      <c r="V890" s="7"/>
    </row>
    <row r="891" spans="10:22" ht="12.75">
      <c r="J891" s="7"/>
      <c r="K891" s="7"/>
      <c r="L891" s="7"/>
      <c r="M891" s="7"/>
      <c r="O891" s="7"/>
      <c r="P891" s="7"/>
      <c r="Q891" s="7"/>
      <c r="S891" s="7"/>
      <c r="U891" s="7"/>
      <c r="V891" s="7"/>
    </row>
    <row r="892" spans="10:22" ht="12.75">
      <c r="J892" s="7"/>
      <c r="K892" s="7"/>
      <c r="L892" s="7"/>
      <c r="M892" s="7"/>
      <c r="O892" s="7"/>
      <c r="P892" s="7"/>
      <c r="Q892" s="7"/>
      <c r="S892" s="7"/>
      <c r="U892" s="7"/>
      <c r="V892" s="7"/>
    </row>
    <row r="893" spans="10:22" ht="12.75">
      <c r="J893" s="7"/>
      <c r="K893" s="7"/>
      <c r="L893" s="7"/>
      <c r="M893" s="7"/>
      <c r="O893" s="7"/>
      <c r="P893" s="7"/>
      <c r="Q893" s="7"/>
      <c r="S893" s="7"/>
      <c r="U893" s="7"/>
      <c r="V893" s="7"/>
    </row>
    <row r="894" spans="10:22" ht="12.75">
      <c r="J894" s="7"/>
      <c r="K894" s="7"/>
      <c r="L894" s="7"/>
      <c r="M894" s="7"/>
      <c r="O894" s="7"/>
      <c r="P894" s="7"/>
      <c r="Q894" s="7"/>
      <c r="S894" s="7"/>
      <c r="U894" s="7"/>
      <c r="V894" s="7"/>
    </row>
    <row r="895" spans="10:22" ht="12.75">
      <c r="J895" s="7"/>
      <c r="K895" s="7"/>
      <c r="L895" s="7"/>
      <c r="M895" s="7"/>
      <c r="O895" s="7"/>
      <c r="P895" s="7"/>
      <c r="Q895" s="7"/>
      <c r="S895" s="7"/>
      <c r="U895" s="7"/>
      <c r="V895" s="7"/>
    </row>
    <row r="896" spans="10:22" ht="12.75">
      <c r="J896" s="7"/>
      <c r="K896" s="7"/>
      <c r="L896" s="7"/>
      <c r="M896" s="7"/>
      <c r="O896" s="7"/>
      <c r="P896" s="7"/>
      <c r="Q896" s="7"/>
      <c r="S896" s="7"/>
      <c r="U896" s="7"/>
      <c r="V896" s="7"/>
    </row>
    <row r="897" spans="10:22" ht="12.75">
      <c r="J897" s="7"/>
      <c r="K897" s="7"/>
      <c r="L897" s="7"/>
      <c r="M897" s="7"/>
      <c r="O897" s="7"/>
      <c r="P897" s="7"/>
      <c r="Q897" s="7"/>
      <c r="S897" s="7"/>
      <c r="U897" s="7"/>
      <c r="V897" s="7"/>
    </row>
    <row r="898" spans="10:22" ht="12.75">
      <c r="J898" s="7"/>
      <c r="K898" s="7"/>
      <c r="L898" s="7"/>
      <c r="M898" s="7"/>
      <c r="O898" s="7"/>
      <c r="P898" s="7"/>
      <c r="Q898" s="7"/>
      <c r="S898" s="7"/>
      <c r="U898" s="7"/>
      <c r="V898" s="7"/>
    </row>
    <row r="899" spans="10:22" ht="12.75">
      <c r="J899" s="7"/>
      <c r="K899" s="7"/>
      <c r="L899" s="7"/>
      <c r="M899" s="7"/>
      <c r="O899" s="7"/>
      <c r="P899" s="7"/>
      <c r="Q899" s="7"/>
      <c r="S899" s="7"/>
      <c r="U899" s="7"/>
      <c r="V899" s="7"/>
    </row>
    <row r="900" spans="10:22" ht="12.75">
      <c r="J900" s="7"/>
      <c r="K900" s="7"/>
      <c r="L900" s="7"/>
      <c r="M900" s="7"/>
      <c r="O900" s="7"/>
      <c r="P900" s="7"/>
      <c r="Q900" s="7"/>
      <c r="S900" s="7"/>
      <c r="U900" s="7"/>
      <c r="V900" s="7"/>
    </row>
    <row r="901" spans="10:22" ht="12.75">
      <c r="J901" s="7"/>
      <c r="K901" s="7"/>
      <c r="L901" s="7"/>
      <c r="M901" s="7"/>
      <c r="O901" s="7"/>
      <c r="P901" s="7"/>
      <c r="Q901" s="7"/>
      <c r="S901" s="7"/>
      <c r="U901" s="7"/>
      <c r="V901" s="7"/>
    </row>
    <row r="902" spans="10:22" ht="12.75">
      <c r="J902" s="7"/>
      <c r="K902" s="7"/>
      <c r="L902" s="7"/>
      <c r="M902" s="7"/>
      <c r="O902" s="7"/>
      <c r="P902" s="7"/>
      <c r="Q902" s="7"/>
      <c r="S902" s="7"/>
      <c r="U902" s="7"/>
      <c r="V902" s="7"/>
    </row>
    <row r="903" spans="10:22" ht="12.75">
      <c r="J903" s="7"/>
      <c r="K903" s="7"/>
      <c r="L903" s="7"/>
      <c r="M903" s="7"/>
      <c r="O903" s="7"/>
      <c r="P903" s="7"/>
      <c r="Q903" s="7"/>
      <c r="S903" s="7"/>
      <c r="U903" s="7"/>
      <c r="V903" s="7"/>
    </row>
    <row r="904" spans="10:22" ht="12.75">
      <c r="J904" s="7"/>
      <c r="K904" s="7"/>
      <c r="L904" s="7"/>
      <c r="M904" s="7"/>
      <c r="O904" s="7"/>
      <c r="P904" s="7"/>
      <c r="Q904" s="7"/>
      <c r="S904" s="7"/>
      <c r="U904" s="7"/>
      <c r="V904" s="7"/>
    </row>
    <row r="905" spans="10:22" ht="12.75">
      <c r="J905" s="7"/>
      <c r="K905" s="7"/>
      <c r="L905" s="7"/>
      <c r="M905" s="7"/>
      <c r="O905" s="7"/>
      <c r="P905" s="7"/>
      <c r="Q905" s="7"/>
      <c r="S905" s="7"/>
      <c r="U905" s="7"/>
      <c r="V905" s="7"/>
    </row>
    <row r="906" spans="10:22" ht="12.75">
      <c r="J906" s="7"/>
      <c r="K906" s="7"/>
      <c r="L906" s="7"/>
      <c r="M906" s="7"/>
      <c r="O906" s="7"/>
      <c r="P906" s="7"/>
      <c r="Q906" s="7"/>
      <c r="S906" s="7"/>
      <c r="U906" s="7"/>
      <c r="V906" s="7"/>
    </row>
    <row r="907" spans="10:22" ht="12.75">
      <c r="J907" s="7"/>
      <c r="K907" s="7"/>
      <c r="L907" s="7"/>
      <c r="M907" s="7"/>
      <c r="O907" s="7"/>
      <c r="P907" s="7"/>
      <c r="Q907" s="7"/>
      <c r="S907" s="7"/>
      <c r="U907" s="7"/>
      <c r="V907" s="7"/>
    </row>
    <row r="908" spans="10:22" ht="12.75">
      <c r="J908" s="7"/>
      <c r="K908" s="7"/>
      <c r="L908" s="7"/>
      <c r="M908" s="7"/>
      <c r="O908" s="7"/>
      <c r="P908" s="7"/>
      <c r="Q908" s="7"/>
      <c r="S908" s="7"/>
      <c r="U908" s="7"/>
      <c r="V908" s="7"/>
    </row>
    <row r="909" spans="10:22" ht="12.75">
      <c r="J909" s="7"/>
      <c r="K909" s="7"/>
      <c r="L909" s="7"/>
      <c r="M909" s="7"/>
      <c r="O909" s="7"/>
      <c r="P909" s="7"/>
      <c r="Q909" s="7"/>
      <c r="S909" s="7"/>
      <c r="U909" s="7"/>
      <c r="V909" s="7"/>
    </row>
    <row r="910" spans="10:22" ht="12.75">
      <c r="J910" s="7"/>
      <c r="K910" s="7"/>
      <c r="L910" s="7"/>
      <c r="M910" s="7"/>
      <c r="O910" s="7"/>
      <c r="P910" s="7"/>
      <c r="Q910" s="7"/>
      <c r="S910" s="7"/>
      <c r="U910" s="7"/>
      <c r="V910" s="7"/>
    </row>
    <row r="911" spans="10:22" ht="12.75">
      <c r="J911" s="7"/>
      <c r="K911" s="7"/>
      <c r="L911" s="7"/>
      <c r="M911" s="7"/>
      <c r="O911" s="7"/>
      <c r="P911" s="7"/>
      <c r="Q911" s="7"/>
      <c r="S911" s="7"/>
      <c r="U911" s="7"/>
      <c r="V911" s="7"/>
    </row>
    <row r="912" spans="10:22" ht="12.75">
      <c r="J912" s="7"/>
      <c r="K912" s="7"/>
      <c r="L912" s="7"/>
      <c r="M912" s="7"/>
      <c r="O912" s="7"/>
      <c r="P912" s="7"/>
      <c r="Q912" s="7"/>
      <c r="S912" s="7"/>
      <c r="U912" s="7"/>
      <c r="V912" s="7"/>
    </row>
    <row r="913" spans="10:22" ht="12.75">
      <c r="J913" s="7"/>
      <c r="K913" s="7"/>
      <c r="L913" s="7"/>
      <c r="M913" s="7"/>
      <c r="O913" s="7"/>
      <c r="P913" s="7"/>
      <c r="Q913" s="7"/>
      <c r="S913" s="7"/>
      <c r="U913" s="7"/>
      <c r="V913" s="7"/>
    </row>
    <row r="914" spans="10:22" ht="12.75">
      <c r="J914" s="7"/>
      <c r="K914" s="7"/>
      <c r="L914" s="7"/>
      <c r="M914" s="7"/>
      <c r="O914" s="7"/>
      <c r="P914" s="7"/>
      <c r="Q914" s="7"/>
      <c r="S914" s="7"/>
      <c r="U914" s="7"/>
      <c r="V914" s="7"/>
    </row>
    <row r="915" spans="10:22" ht="12.75">
      <c r="J915" s="7"/>
      <c r="K915" s="7"/>
      <c r="L915" s="7"/>
      <c r="M915" s="7"/>
      <c r="O915" s="7"/>
      <c r="P915" s="7"/>
      <c r="Q915" s="7"/>
      <c r="S915" s="7"/>
      <c r="U915" s="7"/>
      <c r="V915" s="7"/>
    </row>
    <row r="916" spans="10:22" ht="12.75">
      <c r="J916" s="7"/>
      <c r="K916" s="7"/>
      <c r="L916" s="7"/>
      <c r="M916" s="7"/>
      <c r="O916" s="7"/>
      <c r="P916" s="7"/>
      <c r="Q916" s="7"/>
      <c r="S916" s="7"/>
      <c r="U916" s="7"/>
      <c r="V916" s="7"/>
    </row>
    <row r="917" spans="10:22" ht="12.75">
      <c r="J917" s="7"/>
      <c r="K917" s="7"/>
      <c r="L917" s="7"/>
      <c r="M917" s="7"/>
      <c r="O917" s="7"/>
      <c r="P917" s="7"/>
      <c r="Q917" s="7"/>
      <c r="S917" s="7"/>
      <c r="U917" s="7"/>
      <c r="V917" s="7"/>
    </row>
    <row r="918" spans="10:22" ht="12.75">
      <c r="J918" s="7"/>
      <c r="K918" s="7"/>
      <c r="L918" s="7"/>
      <c r="M918" s="7"/>
      <c r="O918" s="7"/>
      <c r="P918" s="7"/>
      <c r="Q918" s="7"/>
      <c r="S918" s="7"/>
      <c r="U918" s="7"/>
      <c r="V918" s="7"/>
    </row>
    <row r="919" spans="10:22" ht="12.75">
      <c r="J919" s="7"/>
      <c r="K919" s="7"/>
      <c r="L919" s="7"/>
      <c r="M919" s="7"/>
      <c r="O919" s="7"/>
      <c r="P919" s="7"/>
      <c r="Q919" s="7"/>
      <c r="S919" s="7"/>
      <c r="U919" s="7"/>
      <c r="V919" s="7"/>
    </row>
    <row r="920" spans="10:22" ht="12.75">
      <c r="J920" s="7"/>
      <c r="K920" s="7"/>
      <c r="L920" s="7"/>
      <c r="M920" s="7"/>
      <c r="O920" s="7"/>
      <c r="P920" s="7"/>
      <c r="Q920" s="7"/>
      <c r="S920" s="7"/>
      <c r="U920" s="7"/>
      <c r="V920" s="7"/>
    </row>
    <row r="921" spans="10:22" ht="12.75">
      <c r="J921" s="7"/>
      <c r="K921" s="7"/>
      <c r="L921" s="7"/>
      <c r="M921" s="7"/>
      <c r="O921" s="7"/>
      <c r="P921" s="7"/>
      <c r="Q921" s="7"/>
      <c r="S921" s="7"/>
      <c r="U921" s="7"/>
      <c r="V921" s="7"/>
    </row>
    <row r="922" spans="10:22" ht="12.75">
      <c r="J922" s="7"/>
      <c r="K922" s="7"/>
      <c r="L922" s="7"/>
      <c r="M922" s="7"/>
      <c r="O922" s="7"/>
      <c r="P922" s="7"/>
      <c r="Q922" s="7"/>
      <c r="S922" s="7"/>
      <c r="U922" s="7"/>
      <c r="V922" s="7"/>
    </row>
    <row r="923" spans="10:22" ht="12.75">
      <c r="J923" s="7"/>
      <c r="K923" s="7"/>
      <c r="L923" s="7"/>
      <c r="M923" s="7"/>
      <c r="O923" s="7"/>
      <c r="P923" s="7"/>
      <c r="Q923" s="7"/>
      <c r="S923" s="7"/>
      <c r="U923" s="7"/>
      <c r="V923" s="7"/>
    </row>
    <row r="924" spans="10:22" ht="12.75">
      <c r="J924" s="7"/>
      <c r="K924" s="7"/>
      <c r="L924" s="7"/>
      <c r="M924" s="7"/>
      <c r="O924" s="7"/>
      <c r="P924" s="7"/>
      <c r="Q924" s="7"/>
      <c r="S924" s="7"/>
      <c r="U924" s="7"/>
      <c r="V924" s="7"/>
    </row>
    <row r="925" spans="10:22" ht="12.75">
      <c r="J925" s="7"/>
      <c r="K925" s="7"/>
      <c r="L925" s="7"/>
      <c r="M925" s="7"/>
      <c r="O925" s="7"/>
      <c r="P925" s="7"/>
      <c r="Q925" s="7"/>
      <c r="S925" s="7"/>
      <c r="U925" s="7"/>
      <c r="V925" s="7"/>
    </row>
    <row r="926" spans="10:22" ht="12.75">
      <c r="J926" s="7"/>
      <c r="K926" s="7"/>
      <c r="L926" s="7"/>
      <c r="M926" s="7"/>
      <c r="O926" s="7"/>
      <c r="P926" s="7"/>
      <c r="Q926" s="7"/>
      <c r="S926" s="7"/>
      <c r="U926" s="7"/>
      <c r="V926" s="7"/>
    </row>
    <row r="927" spans="10:22" ht="12.75">
      <c r="J927" s="7"/>
      <c r="K927" s="7"/>
      <c r="L927" s="7"/>
      <c r="M927" s="7"/>
      <c r="O927" s="7"/>
      <c r="P927" s="7"/>
      <c r="Q927" s="7"/>
      <c r="S927" s="7"/>
      <c r="U927" s="7"/>
      <c r="V927" s="7"/>
    </row>
    <row r="928" spans="10:22" ht="12.75">
      <c r="J928" s="7"/>
      <c r="K928" s="7"/>
      <c r="L928" s="7"/>
      <c r="M928" s="7"/>
      <c r="O928" s="7"/>
      <c r="P928" s="7"/>
      <c r="Q928" s="7"/>
      <c r="S928" s="7"/>
      <c r="U928" s="7"/>
      <c r="V928" s="7"/>
    </row>
    <row r="929" spans="10:22" ht="12.75">
      <c r="J929" s="7"/>
      <c r="K929" s="7"/>
      <c r="L929" s="7"/>
      <c r="M929" s="7"/>
      <c r="O929" s="7"/>
      <c r="P929" s="7"/>
      <c r="Q929" s="7"/>
      <c r="S929" s="7"/>
      <c r="U929" s="7"/>
      <c r="V929" s="7"/>
    </row>
    <row r="930" spans="10:22" ht="12.75">
      <c r="J930" s="7"/>
      <c r="K930" s="7"/>
      <c r="L930" s="7"/>
      <c r="M930" s="7"/>
      <c r="O930" s="7"/>
      <c r="P930" s="7"/>
      <c r="Q930" s="7"/>
      <c r="S930" s="7"/>
      <c r="U930" s="7"/>
      <c r="V930" s="7"/>
    </row>
    <row r="931" spans="10:22" ht="12.75">
      <c r="J931" s="7"/>
      <c r="K931" s="7"/>
      <c r="L931" s="7"/>
      <c r="M931" s="7"/>
      <c r="O931" s="7"/>
      <c r="P931" s="7"/>
      <c r="Q931" s="7"/>
      <c r="S931" s="7"/>
      <c r="U931" s="7"/>
      <c r="V931" s="7"/>
    </row>
    <row r="932" spans="10:22" ht="12.75">
      <c r="J932" s="7"/>
      <c r="K932" s="7"/>
      <c r="L932" s="7"/>
      <c r="M932" s="7"/>
      <c r="O932" s="7"/>
      <c r="P932" s="7"/>
      <c r="Q932" s="7"/>
      <c r="S932" s="7"/>
      <c r="U932" s="7"/>
      <c r="V932" s="7"/>
    </row>
    <row r="933" spans="10:22" ht="12.75">
      <c r="J933" s="7"/>
      <c r="K933" s="7"/>
      <c r="L933" s="7"/>
      <c r="M933" s="7"/>
      <c r="O933" s="7"/>
      <c r="P933" s="7"/>
      <c r="Q933" s="7"/>
      <c r="S933" s="7"/>
      <c r="U933" s="7"/>
      <c r="V933" s="7"/>
    </row>
    <row r="934" spans="10:22" ht="12.75">
      <c r="J934" s="7"/>
      <c r="K934" s="7"/>
      <c r="L934" s="7"/>
      <c r="M934" s="7"/>
      <c r="O934" s="7"/>
      <c r="P934" s="7"/>
      <c r="Q934" s="7"/>
      <c r="S934" s="7"/>
      <c r="U934" s="7"/>
      <c r="V934" s="7"/>
    </row>
    <row r="935" spans="10:22" ht="12.75">
      <c r="J935" s="7"/>
      <c r="K935" s="7"/>
      <c r="L935" s="7"/>
      <c r="M935" s="7"/>
      <c r="O935" s="7"/>
      <c r="P935" s="7"/>
      <c r="Q935" s="7"/>
      <c r="S935" s="7"/>
      <c r="U935" s="7"/>
      <c r="V935" s="7"/>
    </row>
    <row r="936" spans="10:22" ht="12.75">
      <c r="J936" s="7"/>
      <c r="K936" s="7"/>
      <c r="L936" s="7"/>
      <c r="M936" s="7"/>
      <c r="O936" s="7"/>
      <c r="P936" s="7"/>
      <c r="Q936" s="7"/>
      <c r="S936" s="7"/>
      <c r="U936" s="7"/>
      <c r="V936" s="7"/>
    </row>
    <row r="937" spans="10:22" ht="12.75">
      <c r="J937" s="7"/>
      <c r="K937" s="7"/>
      <c r="L937" s="7"/>
      <c r="M937" s="7"/>
      <c r="O937" s="7"/>
      <c r="P937" s="7"/>
      <c r="Q937" s="7"/>
      <c r="S937" s="7"/>
      <c r="U937" s="7"/>
      <c r="V937" s="7"/>
    </row>
    <row r="938" spans="10:22" ht="12.75">
      <c r="J938" s="7"/>
      <c r="K938" s="7"/>
      <c r="L938" s="7"/>
      <c r="M938" s="7"/>
      <c r="O938" s="7"/>
      <c r="P938" s="7"/>
      <c r="Q938" s="7"/>
      <c r="S938" s="7"/>
      <c r="U938" s="7"/>
      <c r="V938" s="7"/>
    </row>
    <row r="939" spans="10:22" ht="12.75">
      <c r="J939" s="7"/>
      <c r="K939" s="7"/>
      <c r="L939" s="7"/>
      <c r="M939" s="7"/>
      <c r="O939" s="7"/>
      <c r="P939" s="7"/>
      <c r="Q939" s="7"/>
      <c r="S939" s="7"/>
      <c r="U939" s="7"/>
      <c r="V939" s="7"/>
    </row>
    <row r="940" spans="10:22" ht="12.75">
      <c r="J940" s="7"/>
      <c r="K940" s="7"/>
      <c r="L940" s="7"/>
      <c r="M940" s="7"/>
      <c r="O940" s="7"/>
      <c r="P940" s="7"/>
      <c r="Q940" s="7"/>
      <c r="S940" s="7"/>
      <c r="U940" s="7"/>
      <c r="V940" s="7"/>
    </row>
    <row r="941" spans="10:22" ht="12.75">
      <c r="J941" s="7"/>
      <c r="K941" s="7"/>
      <c r="L941" s="7"/>
      <c r="M941" s="7"/>
      <c r="O941" s="7"/>
      <c r="P941" s="7"/>
      <c r="Q941" s="7"/>
      <c r="S941" s="7"/>
      <c r="U941" s="7"/>
      <c r="V941" s="7"/>
    </row>
    <row r="942" spans="10:22" ht="12.75">
      <c r="J942" s="7"/>
      <c r="K942" s="7"/>
      <c r="L942" s="7"/>
      <c r="M942" s="7"/>
      <c r="O942" s="7"/>
      <c r="P942" s="7"/>
      <c r="Q942" s="7"/>
      <c r="S942" s="7"/>
      <c r="U942" s="7"/>
      <c r="V942" s="7"/>
    </row>
    <row r="943" spans="10:22" ht="12.75">
      <c r="J943" s="7"/>
      <c r="K943" s="7"/>
      <c r="L943" s="7"/>
      <c r="M943" s="7"/>
      <c r="O943" s="7"/>
      <c r="P943" s="7"/>
      <c r="Q943" s="7"/>
      <c r="S943" s="7"/>
      <c r="U943" s="7"/>
      <c r="V943" s="7"/>
    </row>
    <row r="944" spans="10:22" ht="12.75">
      <c r="J944" s="7"/>
      <c r="K944" s="7"/>
      <c r="L944" s="7"/>
      <c r="M944" s="7"/>
      <c r="O944" s="7"/>
      <c r="P944" s="7"/>
      <c r="Q944" s="7"/>
      <c r="S944" s="7"/>
      <c r="U944" s="7"/>
      <c r="V944" s="7"/>
    </row>
    <row r="945" spans="10:22" ht="12.75">
      <c r="J945" s="7"/>
      <c r="K945" s="7"/>
      <c r="L945" s="7"/>
      <c r="M945" s="7"/>
      <c r="O945" s="7"/>
      <c r="P945" s="7"/>
      <c r="Q945" s="7"/>
      <c r="S945" s="7"/>
      <c r="U945" s="7"/>
      <c r="V945" s="7"/>
    </row>
    <row r="946" spans="10:22" ht="12.75">
      <c r="J946" s="7"/>
      <c r="K946" s="7"/>
      <c r="L946" s="7"/>
      <c r="M946" s="7"/>
      <c r="O946" s="7"/>
      <c r="P946" s="7"/>
      <c r="Q946" s="7"/>
      <c r="S946" s="7"/>
      <c r="U946" s="7"/>
      <c r="V946" s="7"/>
    </row>
    <row r="947" spans="10:22" ht="12.75">
      <c r="J947" s="7"/>
      <c r="K947" s="7"/>
      <c r="L947" s="7"/>
      <c r="M947" s="7"/>
      <c r="O947" s="7"/>
      <c r="P947" s="7"/>
      <c r="Q947" s="7"/>
      <c r="S947" s="7"/>
      <c r="U947" s="7"/>
      <c r="V947" s="7"/>
    </row>
    <row r="948" spans="10:22" ht="12.75">
      <c r="J948" s="7"/>
      <c r="K948" s="7"/>
      <c r="L948" s="7"/>
      <c r="M948" s="7"/>
      <c r="O948" s="7"/>
      <c r="P948" s="7"/>
      <c r="Q948" s="7"/>
      <c r="S948" s="7"/>
      <c r="U948" s="7"/>
      <c r="V948" s="7"/>
    </row>
    <row r="949" spans="10:22" ht="12.75">
      <c r="J949" s="7"/>
      <c r="K949" s="7"/>
      <c r="L949" s="7"/>
      <c r="M949" s="7"/>
      <c r="O949" s="7"/>
      <c r="P949" s="7"/>
      <c r="Q949" s="7"/>
      <c r="S949" s="7"/>
      <c r="U949" s="7"/>
      <c r="V949" s="7"/>
    </row>
    <row r="950" spans="10:22" ht="12.75">
      <c r="J950" s="7"/>
      <c r="K950" s="7"/>
      <c r="L950" s="7"/>
      <c r="M950" s="7"/>
      <c r="O950" s="7"/>
      <c r="P950" s="7"/>
      <c r="Q950" s="7"/>
      <c r="S950" s="7"/>
      <c r="U950" s="7"/>
      <c r="V950" s="7"/>
    </row>
    <row r="951" spans="10:22" ht="12.75">
      <c r="J951" s="7"/>
      <c r="K951" s="7"/>
      <c r="L951" s="7"/>
      <c r="M951" s="7"/>
      <c r="O951" s="7"/>
      <c r="P951" s="7"/>
      <c r="Q951" s="7"/>
      <c r="S951" s="7"/>
      <c r="U951" s="7"/>
      <c r="V951" s="7"/>
    </row>
    <row r="952" spans="10:22" ht="12.75">
      <c r="J952" s="7"/>
      <c r="K952" s="7"/>
      <c r="L952" s="7"/>
      <c r="M952" s="7"/>
      <c r="O952" s="7"/>
      <c r="P952" s="7"/>
      <c r="Q952" s="7"/>
      <c r="S952" s="7"/>
      <c r="U952" s="7"/>
      <c r="V952" s="7"/>
    </row>
    <row r="953" spans="10:22" ht="12.75">
      <c r="J953" s="7"/>
      <c r="K953" s="7"/>
      <c r="L953" s="7"/>
      <c r="M953" s="7"/>
      <c r="O953" s="7"/>
      <c r="P953" s="7"/>
      <c r="Q953" s="7"/>
      <c r="S953" s="7"/>
      <c r="U953" s="7"/>
      <c r="V953" s="7"/>
    </row>
    <row r="954" spans="10:22" ht="12.75">
      <c r="J954" s="7"/>
      <c r="K954" s="7"/>
      <c r="L954" s="7"/>
      <c r="M954" s="7"/>
      <c r="O954" s="7"/>
      <c r="P954" s="7"/>
      <c r="Q954" s="7"/>
      <c r="S954" s="7"/>
      <c r="U954" s="7"/>
      <c r="V954" s="7"/>
    </row>
    <row r="955" spans="10:22" ht="12.75">
      <c r="J955" s="7"/>
      <c r="K955" s="7"/>
      <c r="L955" s="7"/>
      <c r="M955" s="7"/>
      <c r="O955" s="7"/>
      <c r="P955" s="7"/>
      <c r="Q955" s="7"/>
      <c r="S955" s="7"/>
      <c r="U955" s="7"/>
      <c r="V955" s="7"/>
    </row>
    <row r="956" spans="10:22" ht="12.75">
      <c r="J956" s="7"/>
      <c r="K956" s="7"/>
      <c r="L956" s="7"/>
      <c r="M956" s="7"/>
      <c r="O956" s="7"/>
      <c r="P956" s="7"/>
      <c r="Q956" s="7"/>
      <c r="S956" s="7"/>
      <c r="U956" s="7"/>
      <c r="V956" s="7"/>
    </row>
    <row r="957" spans="10:22" ht="12.75">
      <c r="J957" s="7"/>
      <c r="K957" s="7"/>
      <c r="L957" s="7"/>
      <c r="M957" s="7"/>
      <c r="O957" s="7"/>
      <c r="P957" s="7"/>
      <c r="Q957" s="7"/>
      <c r="S957" s="7"/>
      <c r="U957" s="7"/>
      <c r="V957" s="7"/>
    </row>
    <row r="958" spans="10:22" ht="12.75">
      <c r="J958" s="7"/>
      <c r="K958" s="7"/>
      <c r="L958" s="7"/>
      <c r="M958" s="7"/>
      <c r="O958" s="7"/>
      <c r="P958" s="7"/>
      <c r="Q958" s="7"/>
      <c r="S958" s="7"/>
      <c r="U958" s="7"/>
      <c r="V958" s="7"/>
    </row>
    <row r="959" spans="10:22" ht="12.75">
      <c r="J959" s="7"/>
      <c r="K959" s="7"/>
      <c r="L959" s="7"/>
      <c r="M959" s="7"/>
      <c r="O959" s="7"/>
      <c r="P959" s="7"/>
      <c r="Q959" s="7"/>
      <c r="S959" s="7"/>
      <c r="U959" s="7"/>
      <c r="V959" s="7"/>
    </row>
    <row r="960" spans="10:22" ht="12.75">
      <c r="J960" s="7"/>
      <c r="K960" s="7"/>
      <c r="L960" s="7"/>
      <c r="M960" s="7"/>
      <c r="O960" s="7"/>
      <c r="P960" s="7"/>
      <c r="Q960" s="7"/>
      <c r="S960" s="7"/>
      <c r="U960" s="7"/>
      <c r="V960" s="7"/>
    </row>
    <row r="961" spans="10:22" ht="12.75">
      <c r="J961" s="7"/>
      <c r="K961" s="7"/>
      <c r="L961" s="7"/>
      <c r="M961" s="7"/>
      <c r="O961" s="7"/>
      <c r="P961" s="7"/>
      <c r="Q961" s="7"/>
      <c r="S961" s="7"/>
      <c r="U961" s="7"/>
      <c r="V961" s="7"/>
    </row>
    <row r="962" spans="10:22" ht="12.75">
      <c r="J962" s="7"/>
      <c r="K962" s="7"/>
      <c r="L962" s="7"/>
      <c r="M962" s="7"/>
      <c r="O962" s="7"/>
      <c r="P962" s="7"/>
      <c r="Q962" s="7"/>
      <c r="S962" s="7"/>
      <c r="U962" s="7"/>
      <c r="V962" s="7"/>
    </row>
    <row r="963" spans="10:22" ht="12.75">
      <c r="J963" s="7"/>
      <c r="K963" s="7"/>
      <c r="L963" s="7"/>
      <c r="M963" s="7"/>
      <c r="O963" s="7"/>
      <c r="P963" s="7"/>
      <c r="Q963" s="7"/>
      <c r="S963" s="7"/>
      <c r="U963" s="7"/>
      <c r="V963" s="7"/>
    </row>
    <row r="964" spans="10:22" ht="12.75">
      <c r="J964" s="7"/>
      <c r="K964" s="7"/>
      <c r="L964" s="7"/>
      <c r="M964" s="7"/>
      <c r="O964" s="7"/>
      <c r="P964" s="7"/>
      <c r="Q964" s="7"/>
      <c r="S964" s="7"/>
      <c r="U964" s="7"/>
      <c r="V964" s="7"/>
    </row>
    <row r="965" spans="10:22" ht="12.75">
      <c r="J965" s="7"/>
      <c r="K965" s="7"/>
      <c r="L965" s="7"/>
      <c r="M965" s="7"/>
      <c r="O965" s="7"/>
      <c r="P965" s="7"/>
      <c r="Q965" s="7"/>
      <c r="S965" s="7"/>
      <c r="U965" s="7"/>
      <c r="V965" s="7"/>
    </row>
    <row r="966" spans="10:22" ht="12.75">
      <c r="J966" s="7"/>
      <c r="K966" s="7"/>
      <c r="L966" s="7"/>
      <c r="M966" s="7"/>
      <c r="O966" s="7"/>
      <c r="P966" s="7"/>
      <c r="Q966" s="7"/>
      <c r="S966" s="7"/>
      <c r="U966" s="7"/>
      <c r="V966" s="7"/>
    </row>
    <row r="967" spans="10:22" ht="12.75">
      <c r="J967" s="7"/>
      <c r="K967" s="7"/>
      <c r="L967" s="7"/>
      <c r="M967" s="7"/>
      <c r="O967" s="7"/>
      <c r="P967" s="7"/>
      <c r="Q967" s="7"/>
      <c r="S967" s="7"/>
      <c r="U967" s="7"/>
      <c r="V967" s="7"/>
    </row>
    <row r="968" spans="10:22" ht="12.75">
      <c r="J968" s="7"/>
      <c r="K968" s="7"/>
      <c r="L968" s="7"/>
      <c r="M968" s="7"/>
      <c r="O968" s="7"/>
      <c r="P968" s="7"/>
      <c r="Q968" s="7"/>
      <c r="S968" s="7"/>
      <c r="U968" s="7"/>
      <c r="V968" s="7"/>
    </row>
    <row r="969" spans="10:22" ht="12.75">
      <c r="J969" s="7"/>
      <c r="K969" s="7"/>
      <c r="L969" s="7"/>
      <c r="M969" s="7"/>
      <c r="O969" s="7"/>
      <c r="P969" s="7"/>
      <c r="Q969" s="7"/>
      <c r="S969" s="7"/>
      <c r="U969" s="7"/>
      <c r="V969" s="7"/>
    </row>
    <row r="970" spans="10:22" ht="12.75">
      <c r="J970" s="7"/>
      <c r="K970" s="7"/>
      <c r="L970" s="7"/>
      <c r="M970" s="7"/>
      <c r="O970" s="7"/>
      <c r="P970" s="7"/>
      <c r="Q970" s="7"/>
      <c r="S970" s="7"/>
      <c r="U970" s="7"/>
      <c r="V970" s="7"/>
    </row>
    <row r="971" spans="10:22" ht="12.75">
      <c r="J971" s="7"/>
      <c r="K971" s="7"/>
      <c r="L971" s="7"/>
      <c r="M971" s="7"/>
      <c r="O971" s="7"/>
      <c r="P971" s="7"/>
      <c r="Q971" s="7"/>
      <c r="S971" s="7"/>
      <c r="U971" s="7"/>
      <c r="V971" s="7"/>
    </row>
    <row r="972" spans="10:22" ht="12.75">
      <c r="J972" s="7"/>
      <c r="K972" s="7"/>
      <c r="L972" s="7"/>
      <c r="M972" s="7"/>
      <c r="O972" s="7"/>
      <c r="P972" s="7"/>
      <c r="Q972" s="7"/>
      <c r="S972" s="7"/>
      <c r="U972" s="7"/>
      <c r="V972" s="7"/>
    </row>
    <row r="973" spans="10:22" ht="12.75">
      <c r="J973" s="7"/>
      <c r="K973" s="7"/>
      <c r="L973" s="7"/>
      <c r="M973" s="7"/>
      <c r="O973" s="7"/>
      <c r="P973" s="7"/>
      <c r="Q973" s="7"/>
      <c r="S973" s="7"/>
      <c r="U973" s="7"/>
      <c r="V973" s="7"/>
    </row>
    <row r="974" spans="10:22" ht="12.75">
      <c r="J974" s="7"/>
      <c r="K974" s="7"/>
      <c r="L974" s="7"/>
      <c r="M974" s="7"/>
      <c r="O974" s="7"/>
      <c r="P974" s="7"/>
      <c r="Q974" s="7"/>
      <c r="S974" s="7"/>
      <c r="U974" s="7"/>
      <c r="V974" s="7"/>
    </row>
    <row r="975" spans="10:22" ht="12.75">
      <c r="J975" s="7"/>
      <c r="K975" s="7"/>
      <c r="L975" s="7"/>
      <c r="M975" s="7"/>
      <c r="O975" s="7"/>
      <c r="P975" s="7"/>
      <c r="Q975" s="7"/>
      <c r="S975" s="7"/>
      <c r="U975" s="7"/>
      <c r="V975" s="7"/>
    </row>
    <row r="976" spans="10:22" ht="12.75">
      <c r="J976" s="7"/>
      <c r="K976" s="7"/>
      <c r="L976" s="7"/>
      <c r="M976" s="7"/>
      <c r="O976" s="7"/>
      <c r="P976" s="7"/>
      <c r="Q976" s="7"/>
      <c r="S976" s="7"/>
      <c r="U976" s="7"/>
      <c r="V976" s="7"/>
    </row>
    <row r="977" spans="10:22" ht="12.75">
      <c r="J977" s="7"/>
      <c r="K977" s="7"/>
      <c r="L977" s="7"/>
      <c r="M977" s="7"/>
      <c r="O977" s="7"/>
      <c r="P977" s="7"/>
      <c r="Q977" s="7"/>
      <c r="S977" s="7"/>
      <c r="U977" s="7"/>
      <c r="V977" s="7"/>
    </row>
    <row r="978" spans="10:22" ht="12.75">
      <c r="J978" s="7"/>
      <c r="K978" s="7"/>
      <c r="L978" s="7"/>
      <c r="M978" s="7"/>
      <c r="O978" s="7"/>
      <c r="P978" s="7"/>
      <c r="Q978" s="7"/>
      <c r="S978" s="7"/>
      <c r="U978" s="7"/>
      <c r="V978" s="7"/>
    </row>
    <row r="979" spans="10:22" ht="12.75">
      <c r="J979" s="7"/>
      <c r="K979" s="7"/>
      <c r="L979" s="7"/>
      <c r="M979" s="7"/>
      <c r="O979" s="7"/>
      <c r="P979" s="7"/>
      <c r="Q979" s="7"/>
      <c r="S979" s="7"/>
      <c r="U979" s="7"/>
      <c r="V979" s="7"/>
    </row>
    <row r="980" spans="10:22" ht="12.75">
      <c r="J980" s="7"/>
      <c r="K980" s="7"/>
      <c r="L980" s="7"/>
      <c r="M980" s="7"/>
      <c r="O980" s="7"/>
      <c r="P980" s="7"/>
      <c r="Q980" s="7"/>
      <c r="S980" s="7"/>
      <c r="U980" s="7"/>
      <c r="V980" s="7"/>
    </row>
    <row r="981" spans="10:22" ht="12.75">
      <c r="J981" s="7"/>
      <c r="K981" s="7"/>
      <c r="L981" s="7"/>
      <c r="M981" s="7"/>
      <c r="O981" s="7"/>
      <c r="P981" s="7"/>
      <c r="Q981" s="7"/>
      <c r="S981" s="7"/>
      <c r="U981" s="7"/>
      <c r="V981" s="7"/>
    </row>
    <row r="982" spans="10:22" ht="12.75">
      <c r="J982" s="7"/>
      <c r="K982" s="7"/>
      <c r="L982" s="7"/>
      <c r="M982" s="7"/>
      <c r="O982" s="7"/>
      <c r="P982" s="7"/>
      <c r="Q982" s="7"/>
      <c r="S982" s="7"/>
      <c r="U982" s="7"/>
      <c r="V982" s="7"/>
    </row>
    <row r="983" spans="10:22" ht="12.75">
      <c r="J983" s="7"/>
      <c r="K983" s="7"/>
      <c r="L983" s="7"/>
      <c r="M983" s="7"/>
      <c r="O983" s="7"/>
      <c r="P983" s="7"/>
      <c r="Q983" s="7"/>
      <c r="S983" s="7"/>
      <c r="U983" s="7"/>
      <c r="V983" s="7"/>
    </row>
    <row r="984" spans="10:22" ht="12.75">
      <c r="J984" s="7"/>
      <c r="K984" s="7"/>
      <c r="L984" s="7"/>
      <c r="M984" s="7"/>
      <c r="O984" s="7"/>
      <c r="P984" s="7"/>
      <c r="Q984" s="7"/>
      <c r="S984" s="7"/>
      <c r="U984" s="7"/>
      <c r="V984" s="7"/>
    </row>
    <row r="985" spans="10:22" ht="12.75">
      <c r="J985" s="7"/>
      <c r="K985" s="7"/>
      <c r="L985" s="7"/>
      <c r="M985" s="7"/>
      <c r="O985" s="7"/>
      <c r="P985" s="7"/>
      <c r="Q985" s="7"/>
      <c r="S985" s="7"/>
      <c r="U985" s="7"/>
      <c r="V985" s="7"/>
    </row>
    <row r="986" spans="10:22" ht="12.75">
      <c r="J986" s="7"/>
      <c r="K986" s="7"/>
      <c r="L986" s="7"/>
      <c r="M986" s="7"/>
      <c r="O986" s="7"/>
      <c r="P986" s="7"/>
      <c r="Q986" s="7"/>
      <c r="S986" s="7"/>
      <c r="U986" s="7"/>
      <c r="V986" s="7"/>
    </row>
    <row r="987" spans="10:22" ht="12.75">
      <c r="J987" s="7"/>
      <c r="K987" s="7"/>
      <c r="L987" s="7"/>
      <c r="M987" s="7"/>
      <c r="O987" s="7"/>
      <c r="P987" s="7"/>
      <c r="Q987" s="7"/>
      <c r="S987" s="7"/>
      <c r="U987" s="7"/>
      <c r="V987" s="7"/>
    </row>
    <row r="988" spans="10:22" ht="12.75">
      <c r="J988" s="7"/>
      <c r="K988" s="7"/>
      <c r="L988" s="7"/>
      <c r="M988" s="7"/>
      <c r="O988" s="7"/>
      <c r="P988" s="7"/>
      <c r="Q988" s="7"/>
      <c r="S988" s="7"/>
      <c r="U988" s="7"/>
      <c r="V988" s="7"/>
    </row>
    <row r="989" spans="10:22" ht="12.75">
      <c r="J989" s="7"/>
      <c r="K989" s="7"/>
      <c r="L989" s="7"/>
      <c r="M989" s="7"/>
      <c r="O989" s="7"/>
      <c r="P989" s="7"/>
      <c r="Q989" s="7"/>
      <c r="S989" s="7"/>
      <c r="U989" s="7"/>
      <c r="V989" s="7"/>
    </row>
    <row r="990" spans="10:22" ht="12.75">
      <c r="J990" s="7"/>
      <c r="K990" s="7"/>
      <c r="L990" s="7"/>
      <c r="M990" s="7"/>
      <c r="O990" s="7"/>
      <c r="P990" s="7"/>
      <c r="Q990" s="7"/>
      <c r="S990" s="7"/>
      <c r="U990" s="7"/>
      <c r="V990" s="7"/>
    </row>
    <row r="991" spans="10:22" ht="12.75">
      <c r="J991" s="7"/>
      <c r="K991" s="7"/>
      <c r="L991" s="7"/>
      <c r="M991" s="7"/>
      <c r="O991" s="7"/>
      <c r="P991" s="7"/>
      <c r="Q991" s="7"/>
      <c r="S991" s="7"/>
      <c r="U991" s="7"/>
      <c r="V991" s="7"/>
    </row>
    <row r="992" spans="10:22" ht="12.75">
      <c r="J992" s="7"/>
      <c r="K992" s="7"/>
      <c r="L992" s="7"/>
      <c r="M992" s="7"/>
      <c r="O992" s="7"/>
      <c r="P992" s="7"/>
      <c r="Q992" s="7"/>
      <c r="S992" s="7"/>
      <c r="U992" s="7"/>
      <c r="V992" s="7"/>
    </row>
    <row r="993" spans="10:22" ht="12.75">
      <c r="J993" s="7"/>
      <c r="K993" s="7"/>
      <c r="L993" s="7"/>
      <c r="M993" s="7"/>
      <c r="O993" s="7"/>
      <c r="P993" s="7"/>
      <c r="Q993" s="7"/>
      <c r="S993" s="7"/>
      <c r="U993" s="7"/>
      <c r="V993" s="7"/>
    </row>
    <row r="994" spans="10:22" ht="12.75">
      <c r="J994" s="7"/>
      <c r="K994" s="7"/>
      <c r="L994" s="7"/>
      <c r="M994" s="7"/>
      <c r="O994" s="7"/>
      <c r="P994" s="7"/>
      <c r="Q994" s="7"/>
      <c r="S994" s="7"/>
      <c r="U994" s="7"/>
      <c r="V994" s="7"/>
    </row>
    <row r="995" spans="10:22" ht="12.75">
      <c r="J995" s="7"/>
      <c r="K995" s="7"/>
      <c r="L995" s="7"/>
      <c r="M995" s="7"/>
      <c r="O995" s="7"/>
      <c r="P995" s="7"/>
      <c r="Q995" s="7"/>
      <c r="S995" s="7"/>
      <c r="U995" s="7"/>
      <c r="V995" s="7"/>
    </row>
    <row r="996" spans="10:22" ht="12.75">
      <c r="J996" s="7"/>
      <c r="K996" s="7"/>
      <c r="L996" s="7"/>
      <c r="M996" s="7"/>
      <c r="O996" s="7"/>
      <c r="P996" s="7"/>
      <c r="Q996" s="7"/>
      <c r="S996" s="7"/>
      <c r="U996" s="7"/>
      <c r="V996" s="7"/>
    </row>
    <row r="997" spans="10:22" ht="12.75">
      <c r="J997" s="7"/>
      <c r="K997" s="7"/>
      <c r="L997" s="7"/>
      <c r="M997" s="7"/>
      <c r="O997" s="7"/>
      <c r="P997" s="7"/>
      <c r="Q997" s="7"/>
      <c r="S997" s="7"/>
      <c r="U997" s="7"/>
      <c r="V997" s="7"/>
    </row>
    <row r="998" spans="10:22" ht="12.75">
      <c r="J998" s="7"/>
      <c r="K998" s="7"/>
      <c r="L998" s="7"/>
      <c r="M998" s="7"/>
      <c r="O998" s="7"/>
      <c r="P998" s="7"/>
      <c r="Q998" s="7"/>
      <c r="S998" s="7"/>
      <c r="U998" s="7"/>
      <c r="V998" s="7"/>
    </row>
    <row r="999" spans="10:22" ht="12.75">
      <c r="J999" s="7"/>
      <c r="K999" s="7"/>
      <c r="L999" s="7"/>
      <c r="M999" s="7"/>
      <c r="O999" s="7"/>
      <c r="P999" s="7"/>
      <c r="Q999" s="7"/>
      <c r="S999" s="7"/>
      <c r="U999" s="7"/>
      <c r="V999" s="7"/>
    </row>
    <row r="1000" spans="10:22" ht="12.75">
      <c r="J1000" s="7"/>
      <c r="K1000" s="7"/>
      <c r="L1000" s="7"/>
      <c r="M1000" s="7"/>
      <c r="O1000" s="7"/>
      <c r="P1000" s="7"/>
      <c r="Q1000" s="7"/>
      <c r="S1000" s="7"/>
      <c r="U1000" s="7"/>
      <c r="V1000" s="7"/>
    </row>
  </sheetData>
  <phoneticPr fontId="73" type="noConversion"/>
  <dataValidations count="3">
    <dataValidation type="list" allowBlank="1" sqref="C3:C300" xr:uid="{00000000-0002-0000-0500-000000000000}">
      <formula1>"YT,IG,TK,NTV,옥외,셀프캠,기타"</formula1>
    </dataValidation>
    <dataValidation type="list" allowBlank="1" sqref="W3:W300" xr:uid="{00000000-0002-0000-0500-000001000000}">
      <formula1>"쿠폰,댓글 이벤트"</formula1>
    </dataValidation>
    <dataValidation type="list" allowBlank="1" sqref="V3:V300" xr:uid="{00000000-0002-0000-0500-000002000000}">
      <formula1>"리뷰/추천,브이로거,라이프스타일 ,예능"</formula1>
    </dataValidation>
  </dataValidations>
  <hyperlinks>
    <hyperlink ref="F3" r:id="rId1" xr:uid="{00000000-0004-0000-0500-000000000000}"/>
    <hyperlink ref="N5" r:id="rId2" xr:uid="{00000000-0004-0000-0500-000001000000}"/>
    <hyperlink ref="F6" r:id="rId3" xr:uid="{00000000-0004-0000-0500-000002000000}"/>
    <hyperlink ref="N6" r:id="rId4" xr:uid="{00000000-0004-0000-0500-000003000000}"/>
    <hyperlink ref="S6" r:id="rId5" xr:uid="{00000000-0004-0000-0500-000004000000}"/>
    <hyperlink ref="F8" r:id="rId6" xr:uid="{00000000-0004-0000-0500-000005000000}"/>
    <hyperlink ref="F9" r:id="rId7" xr:uid="{00000000-0004-0000-0500-000006000000}"/>
    <hyperlink ref="N9" r:id="rId8" xr:uid="{00000000-0004-0000-0500-000007000000}"/>
    <hyperlink ref="F10" r:id="rId9" xr:uid="{00000000-0004-0000-0500-000008000000}"/>
    <hyperlink ref="F11" r:id="rId10" xr:uid="{00000000-0004-0000-0500-000009000000}"/>
    <hyperlink ref="N11" r:id="rId11" xr:uid="{00000000-0004-0000-0500-00000A000000}"/>
    <hyperlink ref="F12" r:id="rId12" xr:uid="{00000000-0004-0000-0500-00000B000000}"/>
    <hyperlink ref="N12" r:id="rId13" xr:uid="{00000000-0004-0000-0500-00000C000000}"/>
    <hyperlink ref="F13" r:id="rId14" xr:uid="{00000000-0004-0000-0500-00000D000000}"/>
    <hyperlink ref="F14" r:id="rId15" xr:uid="{00000000-0004-0000-0500-00000E000000}"/>
    <hyperlink ref="N18" r:id="rId16" xr:uid="{00000000-0004-0000-0500-00000F000000}"/>
    <hyperlink ref="N19" r:id="rId17" xr:uid="{00000000-0004-0000-0500-000010000000}"/>
    <hyperlink ref="N20" r:id="rId18" xr:uid="{00000000-0004-0000-0500-000011000000}"/>
    <hyperlink ref="N21" r:id="rId19" xr:uid="{00000000-0004-0000-0500-000012000000}"/>
    <hyperlink ref="N22" r:id="rId20" xr:uid="{00000000-0004-0000-0500-000013000000}"/>
    <hyperlink ref="N23" r:id="rId21" xr:uid="{00000000-0004-0000-0500-000014000000}"/>
    <hyperlink ref="N24" r:id="rId22" xr:uid="{00000000-0004-0000-0500-000015000000}"/>
    <hyperlink ref="N25" r:id="rId23" xr:uid="{00000000-0004-0000-0500-000016000000}"/>
    <hyperlink ref="N26" r:id="rId24" xr:uid="{00000000-0004-0000-0500-000017000000}"/>
    <hyperlink ref="N27" r:id="rId25" xr:uid="{00000000-0004-0000-0500-000018000000}"/>
    <hyperlink ref="N30" r:id="rId26" xr:uid="{00000000-0004-0000-0500-000019000000}"/>
    <hyperlink ref="N31" r:id="rId27" xr:uid="{00000000-0004-0000-0500-00001A000000}"/>
    <hyperlink ref="N32" r:id="rId28" xr:uid="{00000000-0004-0000-0500-00001B000000}"/>
    <hyperlink ref="N33" r:id="rId29" xr:uid="{00000000-0004-0000-0500-00001C000000}"/>
    <hyperlink ref="N34" r:id="rId30" xr:uid="{00000000-0004-0000-0500-00001D000000}"/>
    <hyperlink ref="N35" r:id="rId31" xr:uid="{00000000-0004-0000-0500-00001E000000}"/>
    <hyperlink ref="N36" r:id="rId32" xr:uid="{00000000-0004-0000-0500-00001F000000}"/>
    <hyperlink ref="N38" r:id="rId33" xr:uid="{00000000-0004-0000-0500-000020000000}"/>
    <hyperlink ref="N39" r:id="rId34" xr:uid="{00000000-0004-0000-0500-000021000000}"/>
    <hyperlink ref="N40" r:id="rId35" xr:uid="{00000000-0004-0000-0500-000022000000}"/>
    <hyperlink ref="N41" r:id="rId36" xr:uid="{00000000-0004-0000-0500-000023000000}"/>
    <hyperlink ref="N42" r:id="rId37" xr:uid="{00000000-0004-0000-0500-000024000000}"/>
    <hyperlink ref="N43" r:id="rId38" xr:uid="{00000000-0004-0000-0500-000025000000}"/>
    <hyperlink ref="N44" r:id="rId39" xr:uid="{00000000-0004-0000-0500-000026000000}"/>
    <hyperlink ref="N45" r:id="rId40" xr:uid="{00000000-0004-0000-0500-000027000000}"/>
    <hyperlink ref="N46" r:id="rId41" xr:uid="{00000000-0004-0000-0500-000028000000}"/>
    <hyperlink ref="N47" r:id="rId42" xr:uid="{00000000-0004-0000-0500-000029000000}"/>
    <hyperlink ref="N48" r:id="rId43" xr:uid="{00000000-0004-0000-0500-00002A000000}"/>
    <hyperlink ref="N49" r:id="rId44" xr:uid="{00000000-0004-0000-0500-00002B000000}"/>
    <hyperlink ref="N50" r:id="rId45" xr:uid="{00000000-0004-0000-0500-00002C000000}"/>
    <hyperlink ref="N51" r:id="rId46" xr:uid="{00000000-0004-0000-0500-00002D000000}"/>
    <hyperlink ref="N52" r:id="rId47" xr:uid="{00000000-0004-0000-0500-00002E000000}"/>
    <hyperlink ref="N53" r:id="rId48" xr:uid="{00000000-0004-0000-0500-00002F000000}"/>
    <hyperlink ref="N54" r:id="rId49" xr:uid="{00000000-0004-0000-0500-000030000000}"/>
    <hyperlink ref="N55" r:id="rId50" xr:uid="{00000000-0004-0000-0500-000031000000}"/>
    <hyperlink ref="N56" r:id="rId51" xr:uid="{00000000-0004-0000-0500-000032000000}"/>
    <hyperlink ref="N57" r:id="rId52" xr:uid="{00000000-0004-0000-0500-000033000000}"/>
    <hyperlink ref="N58" r:id="rId53" xr:uid="{00000000-0004-0000-0500-000034000000}"/>
    <hyperlink ref="N59" r:id="rId54" xr:uid="{00000000-0004-0000-0500-000035000000}"/>
    <hyperlink ref="N60" r:id="rId55" xr:uid="{00000000-0004-0000-0500-000036000000}"/>
    <hyperlink ref="N61" r:id="rId56" xr:uid="{00000000-0004-0000-0500-000037000000}"/>
    <hyperlink ref="N62" r:id="rId57" xr:uid="{00000000-0004-0000-0500-000038000000}"/>
    <hyperlink ref="N63" r:id="rId58" xr:uid="{00000000-0004-0000-0500-000039000000}"/>
    <hyperlink ref="N64" r:id="rId59" xr:uid="{00000000-0004-0000-0500-00003A000000}"/>
    <hyperlink ref="N65" r:id="rId60" xr:uid="{00000000-0004-0000-0500-00003B000000}"/>
    <hyperlink ref="N66" r:id="rId61" xr:uid="{00000000-0004-0000-0500-00003C000000}"/>
    <hyperlink ref="N67" r:id="rId62" xr:uid="{00000000-0004-0000-0500-00003D000000}"/>
    <hyperlink ref="N68" r:id="rId63" xr:uid="{00000000-0004-0000-0500-00003E000000}"/>
    <hyperlink ref="N69" r:id="rId64" xr:uid="{00000000-0004-0000-0500-00003F000000}"/>
    <hyperlink ref="N70" r:id="rId65" xr:uid="{00000000-0004-0000-0500-000040000000}"/>
    <hyperlink ref="N71" r:id="rId66" xr:uid="{00000000-0004-0000-0500-000041000000}"/>
    <hyperlink ref="N72" r:id="rId67" xr:uid="{00000000-0004-0000-0500-000042000000}"/>
    <hyperlink ref="N73" r:id="rId68" xr:uid="{00000000-0004-0000-0500-000043000000}"/>
    <hyperlink ref="N74" r:id="rId69" xr:uid="{00000000-0004-0000-0500-000044000000}"/>
    <hyperlink ref="N75" r:id="rId70" xr:uid="{00000000-0004-0000-0500-000045000000}"/>
    <hyperlink ref="N76" r:id="rId71" xr:uid="{00000000-0004-0000-0500-000046000000}"/>
    <hyperlink ref="N77" r:id="rId72" xr:uid="{00000000-0004-0000-0500-000047000000}"/>
    <hyperlink ref="N78" r:id="rId73" xr:uid="{00000000-0004-0000-0500-000048000000}"/>
    <hyperlink ref="N79" r:id="rId74" xr:uid="{00000000-0004-0000-0500-000049000000}"/>
    <hyperlink ref="N80" r:id="rId75" xr:uid="{00000000-0004-0000-0500-00004A000000}"/>
    <hyperlink ref="N81" r:id="rId76" xr:uid="{00000000-0004-0000-0500-00004B000000}"/>
    <hyperlink ref="N82" r:id="rId77" xr:uid="{00000000-0004-0000-0500-00004C000000}"/>
    <hyperlink ref="N83" r:id="rId78" xr:uid="{00000000-0004-0000-0500-00004D000000}"/>
    <hyperlink ref="N84" r:id="rId79" xr:uid="{00000000-0004-0000-0500-00004E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.75" customHeight="1"/>
  <cols>
    <col min="1" max="1" width="21.85546875" customWidth="1"/>
    <col min="2" max="2" width="15.85546875" customWidth="1"/>
    <col min="3" max="3" width="19.28515625" customWidth="1"/>
    <col min="4" max="4" width="19.42578125" customWidth="1"/>
    <col min="5" max="5" width="24.28515625" customWidth="1"/>
    <col min="6" max="6" width="20.5703125" customWidth="1"/>
    <col min="7" max="7" width="20.140625" customWidth="1"/>
    <col min="8" max="8" width="65.85546875" customWidth="1"/>
    <col min="9" max="9" width="89" customWidth="1"/>
  </cols>
  <sheetData>
    <row r="1" spans="1:28" ht="27" customHeight="1">
      <c r="A1" s="137" t="s">
        <v>755</v>
      </c>
      <c r="B1" s="137" t="s">
        <v>756</v>
      </c>
      <c r="C1" s="137" t="s">
        <v>757</v>
      </c>
      <c r="D1" s="137" t="s">
        <v>758</v>
      </c>
      <c r="E1" s="137" t="s">
        <v>759</v>
      </c>
      <c r="F1" s="137" t="s">
        <v>760</v>
      </c>
      <c r="G1" s="137" t="s">
        <v>761</v>
      </c>
      <c r="H1" s="137" t="s">
        <v>762</v>
      </c>
      <c r="I1" s="137" t="s">
        <v>763</v>
      </c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</row>
    <row r="2" spans="1:28" ht="15">
      <c r="A2" s="138" t="s">
        <v>764</v>
      </c>
      <c r="B2" s="138" t="s">
        <v>765</v>
      </c>
      <c r="C2" s="139" t="s">
        <v>766</v>
      </c>
      <c r="D2" s="138" t="s">
        <v>767</v>
      </c>
      <c r="E2" s="138" t="s">
        <v>768</v>
      </c>
      <c r="F2" s="138" t="s">
        <v>769</v>
      </c>
      <c r="G2" s="138" t="s">
        <v>770</v>
      </c>
      <c r="H2" s="138" t="s">
        <v>771</v>
      </c>
      <c r="I2" s="138" t="s">
        <v>772</v>
      </c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8" ht="15">
      <c r="A3" s="138" t="s">
        <v>773</v>
      </c>
      <c r="B3" s="138" t="s">
        <v>774</v>
      </c>
      <c r="C3" s="139" t="s">
        <v>775</v>
      </c>
      <c r="D3" s="138" t="s">
        <v>776</v>
      </c>
      <c r="E3" s="138" t="s">
        <v>777</v>
      </c>
      <c r="F3" s="138" t="s">
        <v>769</v>
      </c>
      <c r="G3" s="138" t="s">
        <v>770</v>
      </c>
      <c r="H3" s="138" t="s">
        <v>778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</row>
    <row r="4" spans="1:28" ht="15">
      <c r="A4" s="138" t="s">
        <v>779</v>
      </c>
      <c r="B4" s="138" t="s">
        <v>765</v>
      </c>
      <c r="C4" s="139" t="s">
        <v>780</v>
      </c>
      <c r="D4" s="138" t="s">
        <v>781</v>
      </c>
      <c r="E4" s="138" t="s">
        <v>768</v>
      </c>
      <c r="F4" s="138" t="s">
        <v>782</v>
      </c>
      <c r="G4" s="138" t="s">
        <v>783</v>
      </c>
      <c r="H4" s="138" t="s">
        <v>784</v>
      </c>
      <c r="I4" s="138" t="s">
        <v>785</v>
      </c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</row>
    <row r="5" spans="1:28" ht="15">
      <c r="A5" s="138" t="s">
        <v>786</v>
      </c>
      <c r="B5" s="138" t="s">
        <v>765</v>
      </c>
      <c r="C5" s="139" t="s">
        <v>787</v>
      </c>
      <c r="D5" s="138" t="s">
        <v>788</v>
      </c>
      <c r="E5" s="138" t="s">
        <v>789</v>
      </c>
      <c r="F5" s="138" t="s">
        <v>790</v>
      </c>
      <c r="G5" s="138" t="s">
        <v>783</v>
      </c>
      <c r="H5" s="138" t="s">
        <v>791</v>
      </c>
      <c r="I5" s="138" t="s">
        <v>792</v>
      </c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</row>
    <row r="6" spans="1:28" ht="15">
      <c r="A6" s="138" t="s">
        <v>793</v>
      </c>
      <c r="B6" s="138" t="s">
        <v>765</v>
      </c>
      <c r="C6" s="139" t="s">
        <v>794</v>
      </c>
      <c r="D6" s="138" t="s">
        <v>795</v>
      </c>
      <c r="E6" s="138" t="s">
        <v>768</v>
      </c>
      <c r="F6" s="138" t="s">
        <v>790</v>
      </c>
      <c r="G6" s="138" t="s">
        <v>796</v>
      </c>
      <c r="H6" s="138" t="s">
        <v>797</v>
      </c>
      <c r="I6" s="138" t="s">
        <v>798</v>
      </c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</row>
    <row r="7" spans="1:28" ht="15">
      <c r="A7" s="138" t="s">
        <v>799</v>
      </c>
      <c r="B7" s="138" t="s">
        <v>765</v>
      </c>
      <c r="C7" s="139" t="s">
        <v>800</v>
      </c>
      <c r="D7" s="138"/>
      <c r="E7" s="138" t="s">
        <v>768</v>
      </c>
      <c r="F7" s="138" t="s">
        <v>782</v>
      </c>
      <c r="G7" s="138" t="s">
        <v>783</v>
      </c>
      <c r="H7" s="138" t="s">
        <v>801</v>
      </c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</row>
    <row r="8" spans="1:28" ht="15">
      <c r="A8" s="138" t="s">
        <v>802</v>
      </c>
      <c r="B8" s="138" t="s">
        <v>765</v>
      </c>
      <c r="C8" s="138"/>
      <c r="D8" s="138"/>
      <c r="E8" s="138" t="s">
        <v>768</v>
      </c>
      <c r="F8" s="138" t="s">
        <v>790</v>
      </c>
      <c r="G8" s="138" t="s">
        <v>783</v>
      </c>
      <c r="H8" s="138"/>
      <c r="I8" s="138" t="s">
        <v>803</v>
      </c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</row>
    <row r="9" spans="1:28" ht="15">
      <c r="A9" s="138" t="s">
        <v>804</v>
      </c>
      <c r="B9" s="138" t="s">
        <v>774</v>
      </c>
      <c r="C9" s="139" t="s">
        <v>805</v>
      </c>
      <c r="D9" s="138" t="s">
        <v>806</v>
      </c>
      <c r="E9" s="138" t="s">
        <v>768</v>
      </c>
      <c r="F9" s="138" t="s">
        <v>769</v>
      </c>
      <c r="G9" s="138" t="s">
        <v>783</v>
      </c>
      <c r="H9" s="138" t="s">
        <v>807</v>
      </c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</row>
    <row r="10" spans="1:28" ht="15">
      <c r="A10" s="138" t="s">
        <v>808</v>
      </c>
      <c r="B10" s="138" t="s">
        <v>774</v>
      </c>
      <c r="C10" s="140" t="s">
        <v>809</v>
      </c>
      <c r="D10" s="138" t="s">
        <v>810</v>
      </c>
      <c r="E10" s="138"/>
      <c r="F10" s="138" t="s">
        <v>769</v>
      </c>
      <c r="G10" s="138"/>
      <c r="H10" s="138" t="s">
        <v>811</v>
      </c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</row>
    <row r="11" spans="1:28" ht="15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</row>
    <row r="12" spans="1:28" ht="15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</row>
    <row r="13" spans="1:28" ht="15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</row>
    <row r="14" spans="1:28" ht="15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</row>
    <row r="15" spans="1:28" ht="15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</row>
    <row r="16" spans="1:28" ht="15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</row>
    <row r="17" spans="1:28" ht="15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</row>
    <row r="18" spans="1:28" ht="15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</row>
    <row r="19" spans="1:28" ht="15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</row>
    <row r="20" spans="1:28" ht="15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</row>
    <row r="21" spans="1:28" ht="15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</row>
    <row r="22" spans="1:28" ht="15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</row>
    <row r="23" spans="1:28" ht="15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</row>
    <row r="24" spans="1:28" ht="1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</row>
    <row r="25" spans="1:28" ht="15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</row>
    <row r="26" spans="1:28" ht="15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</row>
    <row r="27" spans="1:28" ht="15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</row>
    <row r="28" spans="1:28" ht="15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</row>
    <row r="29" spans="1:28" ht="15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</row>
    <row r="30" spans="1:28" ht="15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</row>
    <row r="31" spans="1:28" ht="15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</row>
    <row r="32" spans="1:28" ht="15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</row>
    <row r="33" spans="1:28" ht="15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</row>
    <row r="34" spans="1:28" ht="15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</row>
    <row r="35" spans="1:28" ht="15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</row>
    <row r="36" spans="1:28" ht="15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</row>
    <row r="37" spans="1:28" ht="15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</row>
    <row r="38" spans="1:28" ht="15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</row>
    <row r="39" spans="1:28" ht="15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</row>
    <row r="40" spans="1:28" ht="15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</row>
    <row r="41" spans="1:28" ht="15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</row>
    <row r="42" spans="1:28" ht="15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</row>
    <row r="43" spans="1:28" ht="15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</row>
    <row r="44" spans="1:28" ht="15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</row>
    <row r="45" spans="1:28" ht="15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</row>
    <row r="46" spans="1:28" ht="15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</row>
    <row r="47" spans="1:28" ht="15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</row>
    <row r="48" spans="1:28" ht="15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</row>
    <row r="49" spans="1:28" ht="15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</row>
    <row r="50" spans="1:28" ht="15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</row>
    <row r="51" spans="1:28" ht="15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</row>
    <row r="52" spans="1:28" ht="15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</row>
    <row r="53" spans="1:28" ht="15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</row>
    <row r="54" spans="1:28" ht="15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</row>
    <row r="55" spans="1:28" ht="15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</row>
    <row r="56" spans="1:28" ht="15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</row>
    <row r="57" spans="1:28" ht="15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</row>
    <row r="58" spans="1:28" ht="15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</row>
    <row r="59" spans="1:28" ht="15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</row>
    <row r="60" spans="1:28" ht="15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</row>
    <row r="61" spans="1:28" ht="15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</row>
    <row r="62" spans="1:28" ht="15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</row>
    <row r="63" spans="1:28" ht="15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</row>
    <row r="64" spans="1:28" ht="15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</row>
    <row r="65" spans="1:28" ht="1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</row>
    <row r="66" spans="1:28" ht="15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</row>
    <row r="67" spans="1:28" ht="15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</row>
    <row r="68" spans="1:28" ht="15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</row>
    <row r="69" spans="1:28" ht="1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</row>
    <row r="70" spans="1:28" ht="1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</row>
    <row r="71" spans="1:28" ht="1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</row>
    <row r="72" spans="1:28" ht="1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</row>
    <row r="73" spans="1:28" ht="1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</row>
    <row r="74" spans="1:28" ht="1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</row>
    <row r="75" spans="1:28" ht="1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</row>
    <row r="76" spans="1:28" ht="1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</row>
    <row r="77" spans="1:28" ht="15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</row>
    <row r="78" spans="1:28" ht="15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</row>
    <row r="79" spans="1:28" ht="15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</row>
    <row r="80" spans="1:28" ht="15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</row>
    <row r="81" spans="1:28" ht="15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</row>
    <row r="82" spans="1:28" ht="15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</row>
    <row r="83" spans="1:28" ht="15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</row>
    <row r="84" spans="1:28" ht="15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</row>
    <row r="85" spans="1:28" ht="1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</row>
    <row r="86" spans="1:28" ht="15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</row>
    <row r="87" spans="1:28" ht="15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</row>
    <row r="88" spans="1:28" ht="15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</row>
    <row r="89" spans="1:28" ht="15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</row>
    <row r="90" spans="1:28" ht="15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</row>
    <row r="91" spans="1:28" ht="15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</row>
    <row r="92" spans="1:28" ht="15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</row>
    <row r="93" spans="1:28" ht="15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</row>
    <row r="94" spans="1:28" ht="15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</row>
    <row r="95" spans="1:28" ht="1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</row>
    <row r="96" spans="1:28" ht="15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</row>
    <row r="97" spans="1:28" ht="15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</row>
    <row r="98" spans="1:28" ht="15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</row>
    <row r="99" spans="1:28" ht="15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</row>
    <row r="100" spans="1:28" ht="15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</row>
    <row r="101" spans="1:28" ht="15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</row>
    <row r="102" spans="1:28" ht="15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</row>
    <row r="103" spans="1:28" ht="15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</row>
    <row r="104" spans="1:28" ht="15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</row>
    <row r="105" spans="1:28" ht="1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</row>
    <row r="106" spans="1:28" ht="15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</row>
    <row r="107" spans="1:28" ht="15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</row>
    <row r="108" spans="1:28" ht="15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</row>
    <row r="109" spans="1:28" ht="15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</row>
    <row r="110" spans="1:28" ht="15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</row>
    <row r="111" spans="1:28" ht="15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</row>
    <row r="112" spans="1:28" ht="15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</row>
    <row r="113" spans="1:28" ht="15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</row>
    <row r="114" spans="1:28" ht="15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</row>
    <row r="115" spans="1:28" ht="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</row>
    <row r="116" spans="1:28" ht="15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</row>
    <row r="117" spans="1:28" ht="15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</row>
    <row r="118" spans="1:28" ht="15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</row>
    <row r="119" spans="1:28" ht="15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</row>
    <row r="120" spans="1:28" ht="15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</row>
    <row r="121" spans="1:28" ht="15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</row>
    <row r="122" spans="1:28" ht="15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</row>
    <row r="123" spans="1:28" ht="15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</row>
    <row r="124" spans="1:28" ht="15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</row>
    <row r="125" spans="1:28" ht="1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</row>
    <row r="126" spans="1:28" ht="15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</row>
    <row r="127" spans="1:28" ht="15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</row>
    <row r="128" spans="1:28" ht="15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</row>
    <row r="129" spans="1:28" ht="15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</row>
    <row r="130" spans="1:28" ht="15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</row>
    <row r="131" spans="1:28" ht="15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</row>
    <row r="132" spans="1:28" ht="15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</row>
    <row r="133" spans="1:28" ht="15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</row>
    <row r="134" spans="1:28" ht="15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</row>
    <row r="135" spans="1:28" ht="1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</row>
    <row r="136" spans="1:28" ht="15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</row>
    <row r="137" spans="1:28" ht="15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</row>
    <row r="138" spans="1:28" ht="15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</row>
    <row r="139" spans="1:28" ht="15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</row>
    <row r="140" spans="1:28" ht="15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</row>
    <row r="141" spans="1:28" ht="15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</row>
    <row r="142" spans="1:28" ht="15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</row>
    <row r="143" spans="1:28" ht="15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</row>
    <row r="144" spans="1:28" ht="15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</row>
    <row r="145" spans="1:28" ht="1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</row>
    <row r="146" spans="1:28" ht="15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</row>
    <row r="147" spans="1:28" ht="15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</row>
    <row r="148" spans="1:28" ht="15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</row>
    <row r="149" spans="1:28" ht="15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</row>
    <row r="150" spans="1:28" ht="15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</row>
    <row r="151" spans="1:28" ht="15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</row>
    <row r="152" spans="1:28" ht="15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</row>
    <row r="153" spans="1:28" ht="15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</row>
    <row r="154" spans="1:28" ht="15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</row>
    <row r="155" spans="1:28" ht="1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</row>
    <row r="156" spans="1:28" ht="15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</row>
    <row r="157" spans="1:28" ht="15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</row>
    <row r="158" spans="1:28" ht="15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</row>
    <row r="159" spans="1:28" ht="15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</row>
    <row r="160" spans="1:28" ht="15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</row>
    <row r="161" spans="1:28" ht="15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</row>
    <row r="162" spans="1:28" ht="15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</row>
    <row r="163" spans="1:28" ht="15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</row>
    <row r="164" spans="1:28" ht="15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</row>
    <row r="165" spans="1:28" ht="1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</row>
    <row r="166" spans="1:28" ht="15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</row>
    <row r="167" spans="1:28" ht="15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</row>
    <row r="168" spans="1:28" ht="15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</row>
    <row r="169" spans="1:28" ht="15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</row>
    <row r="170" spans="1:28" ht="15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</row>
    <row r="171" spans="1:28" ht="15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</row>
    <row r="172" spans="1:28" ht="15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</row>
    <row r="173" spans="1:28" ht="15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</row>
    <row r="174" spans="1:28" ht="15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</row>
    <row r="175" spans="1:28" ht="1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</row>
    <row r="176" spans="1:28" ht="15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</row>
    <row r="177" spans="1:28" ht="15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</row>
    <row r="178" spans="1:28" ht="15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</row>
    <row r="179" spans="1:28" ht="15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</row>
    <row r="180" spans="1:28" ht="15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</row>
    <row r="181" spans="1:28" ht="15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</row>
    <row r="182" spans="1:28" ht="15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</row>
    <row r="183" spans="1:28" ht="15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</row>
    <row r="184" spans="1:28" ht="15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</row>
    <row r="185" spans="1:28" ht="1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</row>
    <row r="186" spans="1:28" ht="15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</row>
    <row r="187" spans="1:28" ht="15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</row>
    <row r="188" spans="1:28" ht="15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</row>
    <row r="189" spans="1:28" ht="15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</row>
    <row r="190" spans="1:28" ht="15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</row>
    <row r="191" spans="1:28" ht="15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</row>
    <row r="192" spans="1:28" ht="15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</row>
    <row r="193" spans="1:28" ht="15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</row>
    <row r="194" spans="1:28" ht="15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</row>
    <row r="195" spans="1:28" ht="1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</row>
    <row r="196" spans="1:28" ht="15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</row>
    <row r="197" spans="1:28" ht="15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</row>
    <row r="198" spans="1:28" ht="15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</row>
    <row r="199" spans="1:28" ht="15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</row>
    <row r="200" spans="1:28" ht="15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</row>
    <row r="201" spans="1:28" ht="15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</row>
    <row r="202" spans="1:28" ht="15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</row>
    <row r="203" spans="1:28" ht="15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</row>
    <row r="204" spans="1:28" ht="15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</row>
    <row r="205" spans="1:28" ht="1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</row>
    <row r="206" spans="1:28" ht="15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</row>
    <row r="207" spans="1:28" ht="15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</row>
    <row r="208" spans="1:28" ht="15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</row>
    <row r="209" spans="1:28" ht="15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</row>
    <row r="210" spans="1:28" ht="15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</row>
    <row r="211" spans="1:28" ht="15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</row>
    <row r="212" spans="1:28" ht="15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</row>
    <row r="213" spans="1:28" ht="15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</row>
    <row r="214" spans="1:28" ht="15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</row>
    <row r="215" spans="1:28" ht="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</row>
    <row r="216" spans="1:28" ht="15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</row>
    <row r="217" spans="1:28" ht="15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</row>
    <row r="218" spans="1:28" ht="15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</row>
    <row r="219" spans="1:28" ht="15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</row>
    <row r="220" spans="1:28" ht="15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</row>
    <row r="221" spans="1:28" ht="15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</row>
    <row r="222" spans="1:28" ht="15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</row>
    <row r="223" spans="1:28" ht="15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</row>
    <row r="224" spans="1:28" ht="15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</row>
    <row r="225" spans="1:28" ht="1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</row>
    <row r="226" spans="1:28" ht="15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</row>
    <row r="227" spans="1:28" ht="15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</row>
    <row r="228" spans="1:28" ht="15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</row>
    <row r="229" spans="1:28" ht="15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</row>
    <row r="230" spans="1:28" ht="15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</row>
    <row r="231" spans="1:28" ht="15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</row>
    <row r="232" spans="1:28" ht="15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</row>
    <row r="233" spans="1:28" ht="15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</row>
    <row r="234" spans="1:28" ht="15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</row>
    <row r="235" spans="1:28" ht="1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</row>
    <row r="236" spans="1:28" ht="15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</row>
    <row r="237" spans="1:28" ht="15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</row>
    <row r="238" spans="1:28" ht="15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</row>
    <row r="239" spans="1:28" ht="15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</row>
    <row r="240" spans="1:28" ht="15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</row>
    <row r="241" spans="1:28" ht="15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</row>
    <row r="242" spans="1:28" ht="15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</row>
    <row r="243" spans="1:28" ht="15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</row>
    <row r="244" spans="1:28" ht="15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</row>
    <row r="245" spans="1:28" ht="1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</row>
    <row r="246" spans="1:28" ht="15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</row>
    <row r="247" spans="1:28" ht="15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</row>
    <row r="248" spans="1:28" ht="15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</row>
    <row r="249" spans="1:28" ht="15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</row>
    <row r="250" spans="1:28" ht="15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</row>
    <row r="251" spans="1:28" ht="15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</row>
    <row r="252" spans="1:28" ht="15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</row>
    <row r="253" spans="1:28" ht="15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</row>
    <row r="254" spans="1:28" ht="15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</row>
    <row r="255" spans="1:28" ht="1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</row>
    <row r="256" spans="1:28" ht="15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</row>
    <row r="257" spans="1:28" ht="15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</row>
    <row r="258" spans="1:28" ht="15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</row>
    <row r="259" spans="1:28" ht="15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</row>
    <row r="260" spans="1:28" ht="15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</row>
    <row r="261" spans="1:28" ht="15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</row>
    <row r="262" spans="1:28" ht="15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</row>
    <row r="263" spans="1:28" ht="15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</row>
    <row r="264" spans="1:28" ht="15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</row>
    <row r="265" spans="1:28" ht="1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</row>
    <row r="266" spans="1:28" ht="15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</row>
    <row r="267" spans="1:28" ht="15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</row>
    <row r="268" spans="1:28" ht="15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</row>
    <row r="269" spans="1:28" ht="15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</row>
    <row r="270" spans="1:28" ht="15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</row>
    <row r="271" spans="1:28" ht="15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</row>
    <row r="272" spans="1:28" ht="15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</row>
    <row r="273" spans="1:28" ht="15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</row>
    <row r="274" spans="1:28" ht="15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</row>
    <row r="275" spans="1:28" ht="1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</row>
    <row r="276" spans="1:28" ht="15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</row>
    <row r="277" spans="1:28" ht="15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</row>
    <row r="278" spans="1:28" ht="15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</row>
    <row r="279" spans="1:28" ht="15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</row>
    <row r="280" spans="1:28" ht="15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</row>
    <row r="281" spans="1:28" ht="15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</row>
    <row r="282" spans="1:28" ht="15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</row>
    <row r="283" spans="1:28" ht="15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</row>
    <row r="284" spans="1:28" ht="15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</row>
    <row r="285" spans="1:28" ht="1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</row>
    <row r="286" spans="1:28" ht="15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</row>
    <row r="287" spans="1:28" ht="15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</row>
    <row r="288" spans="1:28" ht="15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</row>
    <row r="289" spans="1:28" ht="15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</row>
    <row r="290" spans="1:28" ht="15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</row>
    <row r="291" spans="1:28" ht="15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</row>
    <row r="292" spans="1:28" ht="15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</row>
    <row r="293" spans="1:28" ht="15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</row>
    <row r="294" spans="1:28" ht="15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</row>
    <row r="295" spans="1:28" ht="1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</row>
    <row r="296" spans="1:28" ht="15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</row>
    <row r="297" spans="1:28" ht="15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</row>
    <row r="298" spans="1:28" ht="15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</row>
    <row r="299" spans="1:28" ht="15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</row>
    <row r="300" spans="1:28" ht="15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</row>
    <row r="301" spans="1:28" ht="15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</row>
    <row r="302" spans="1:28" ht="15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</row>
    <row r="303" spans="1:28" ht="15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</row>
    <row r="304" spans="1:28" ht="15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</row>
    <row r="305" spans="1:28" ht="1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</row>
    <row r="306" spans="1:28" ht="15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</row>
    <row r="307" spans="1:28" ht="15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</row>
    <row r="308" spans="1:28" ht="15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</row>
    <row r="309" spans="1:28" ht="15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</row>
    <row r="310" spans="1:28" ht="15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</row>
    <row r="311" spans="1:28" ht="15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</row>
    <row r="312" spans="1:28" ht="15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</row>
    <row r="313" spans="1:28" ht="15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</row>
    <row r="314" spans="1:28" ht="15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</row>
    <row r="315" spans="1:28" ht="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</row>
    <row r="316" spans="1:28" ht="15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</row>
    <row r="317" spans="1:28" ht="15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</row>
    <row r="318" spans="1:28" ht="15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</row>
    <row r="319" spans="1:28" ht="15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</row>
    <row r="320" spans="1:28" ht="15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</row>
    <row r="321" spans="1:28" ht="15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</row>
    <row r="322" spans="1:28" ht="15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</row>
    <row r="323" spans="1:28" ht="15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</row>
    <row r="324" spans="1:28" ht="15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</row>
    <row r="325" spans="1:28" ht="1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</row>
    <row r="326" spans="1:28" ht="15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</row>
    <row r="327" spans="1:28" ht="15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</row>
    <row r="328" spans="1:28" ht="15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</row>
    <row r="329" spans="1:28" ht="15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</row>
    <row r="330" spans="1:28" ht="15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</row>
    <row r="331" spans="1:28" ht="15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</row>
    <row r="332" spans="1:28" ht="15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</row>
    <row r="333" spans="1:28" ht="15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</row>
    <row r="334" spans="1:28" ht="15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</row>
    <row r="335" spans="1:28" ht="1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</row>
    <row r="336" spans="1:28" ht="15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</row>
    <row r="337" spans="1:28" ht="15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</row>
    <row r="338" spans="1:28" ht="15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</row>
    <row r="339" spans="1:28" ht="15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</row>
    <row r="340" spans="1:28" ht="15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</row>
    <row r="341" spans="1:28" ht="15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</row>
    <row r="342" spans="1:28" ht="15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</row>
    <row r="343" spans="1:28" ht="15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</row>
    <row r="344" spans="1:28" ht="15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</row>
    <row r="345" spans="1:28" ht="1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</row>
    <row r="346" spans="1:28" ht="15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</row>
    <row r="347" spans="1:28" ht="15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</row>
    <row r="348" spans="1:28" ht="15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</row>
    <row r="349" spans="1:28" ht="15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</row>
    <row r="350" spans="1:28" ht="15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</row>
    <row r="351" spans="1:28" ht="15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</row>
    <row r="352" spans="1:28" ht="15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</row>
    <row r="353" spans="1:28" ht="15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</row>
    <row r="354" spans="1:28" ht="15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</row>
    <row r="355" spans="1:28" ht="1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</row>
    <row r="356" spans="1:28" ht="15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</row>
    <row r="357" spans="1:28" ht="15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</row>
    <row r="358" spans="1:28" ht="15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</row>
    <row r="359" spans="1:28" ht="15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</row>
    <row r="360" spans="1:28" ht="15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</row>
    <row r="361" spans="1:28" ht="15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</row>
    <row r="362" spans="1:28" ht="15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</row>
    <row r="363" spans="1:28" ht="15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</row>
    <row r="364" spans="1:28" ht="15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</row>
    <row r="365" spans="1:28" ht="1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</row>
    <row r="366" spans="1:28" ht="15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</row>
    <row r="367" spans="1:28" ht="15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</row>
    <row r="368" spans="1:28" ht="15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</row>
    <row r="369" spans="1:28" ht="15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</row>
    <row r="370" spans="1:28" ht="15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</row>
    <row r="371" spans="1:28" ht="15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</row>
    <row r="372" spans="1:28" ht="15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</row>
    <row r="373" spans="1:28" ht="15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</row>
    <row r="374" spans="1:28" ht="15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</row>
    <row r="375" spans="1:28" ht="1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</row>
    <row r="376" spans="1:28" ht="15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</row>
    <row r="377" spans="1:28" ht="15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</row>
    <row r="378" spans="1:28" ht="15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</row>
    <row r="379" spans="1:28" ht="15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</row>
    <row r="380" spans="1:28" ht="15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</row>
    <row r="381" spans="1:28" ht="15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</row>
    <row r="382" spans="1:28" ht="15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</row>
    <row r="383" spans="1:28" ht="15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</row>
    <row r="384" spans="1:28" ht="15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</row>
    <row r="385" spans="1:28" ht="1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</row>
    <row r="386" spans="1:28" ht="15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</row>
    <row r="387" spans="1:28" ht="15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</row>
    <row r="388" spans="1:28" ht="15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</row>
    <row r="389" spans="1:28" ht="15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</row>
    <row r="390" spans="1:28" ht="15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</row>
    <row r="391" spans="1:28" ht="15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</row>
    <row r="392" spans="1:28" ht="15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</row>
    <row r="393" spans="1:28" ht="15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</row>
    <row r="394" spans="1:28" ht="15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</row>
    <row r="395" spans="1:28" ht="1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</row>
    <row r="396" spans="1:28" ht="15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</row>
    <row r="397" spans="1:28" ht="15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</row>
    <row r="398" spans="1:28" ht="15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</row>
    <row r="399" spans="1:28" ht="15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</row>
    <row r="400" spans="1:28" ht="15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</row>
    <row r="401" spans="1:28" ht="15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</row>
    <row r="402" spans="1:28" ht="15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</row>
    <row r="403" spans="1:28" ht="15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</row>
    <row r="404" spans="1:28" ht="15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</row>
    <row r="405" spans="1:28" ht="1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</row>
    <row r="406" spans="1:28" ht="15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</row>
    <row r="407" spans="1:28" ht="15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</row>
    <row r="408" spans="1:28" ht="15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</row>
    <row r="409" spans="1:28" ht="15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</row>
    <row r="410" spans="1:28" ht="15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</row>
    <row r="411" spans="1:28" ht="15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</row>
    <row r="412" spans="1:28" ht="15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</row>
    <row r="413" spans="1:28" ht="15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</row>
    <row r="414" spans="1:28" ht="15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</row>
    <row r="415" spans="1:28" ht="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</row>
    <row r="416" spans="1:28" ht="15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</row>
    <row r="417" spans="1:28" ht="15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</row>
    <row r="418" spans="1:28" ht="15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</row>
    <row r="419" spans="1:28" ht="15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</row>
    <row r="420" spans="1:28" ht="15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</row>
    <row r="421" spans="1:28" ht="15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</row>
    <row r="422" spans="1:28" ht="15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</row>
    <row r="423" spans="1:28" ht="15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</row>
    <row r="424" spans="1:28" ht="15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</row>
    <row r="425" spans="1:28" ht="1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</row>
    <row r="426" spans="1:28" ht="15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</row>
    <row r="427" spans="1:28" ht="15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</row>
    <row r="428" spans="1:28" ht="15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</row>
    <row r="429" spans="1:28" ht="15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</row>
    <row r="430" spans="1:28" ht="15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</row>
    <row r="431" spans="1:28" ht="15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</row>
    <row r="432" spans="1:28" ht="15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</row>
    <row r="433" spans="1:28" ht="15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</row>
    <row r="434" spans="1:28" ht="15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</row>
    <row r="435" spans="1:28" ht="1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</row>
    <row r="436" spans="1:28" ht="15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</row>
    <row r="437" spans="1:28" ht="15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</row>
    <row r="438" spans="1:28" ht="15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</row>
    <row r="439" spans="1:28" ht="15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</row>
    <row r="440" spans="1:28" ht="15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</row>
    <row r="441" spans="1:28" ht="15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</row>
    <row r="442" spans="1:28" ht="15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</row>
    <row r="443" spans="1:28" ht="15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</row>
    <row r="444" spans="1:28" ht="15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</row>
    <row r="445" spans="1:28" ht="1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</row>
    <row r="446" spans="1:28" ht="15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</row>
    <row r="447" spans="1:28" ht="15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</row>
    <row r="448" spans="1:28" ht="15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</row>
    <row r="449" spans="1:28" ht="15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</row>
    <row r="450" spans="1:28" ht="15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</row>
    <row r="451" spans="1:28" ht="15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</row>
    <row r="452" spans="1:28" ht="15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</row>
    <row r="453" spans="1:28" ht="15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</row>
    <row r="454" spans="1:28" ht="15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</row>
    <row r="455" spans="1:28" ht="1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</row>
    <row r="456" spans="1:28" ht="15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</row>
    <row r="457" spans="1:28" ht="15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</row>
    <row r="458" spans="1:28" ht="15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</row>
    <row r="459" spans="1:28" ht="15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</row>
    <row r="460" spans="1:28" ht="15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</row>
    <row r="461" spans="1:28" ht="15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</row>
    <row r="462" spans="1:28" ht="15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</row>
    <row r="463" spans="1:28" ht="15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</row>
    <row r="464" spans="1:28" ht="15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</row>
    <row r="465" spans="1:28" ht="1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</row>
    <row r="466" spans="1:28" ht="15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</row>
    <row r="467" spans="1:28" ht="15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</row>
    <row r="468" spans="1:28" ht="15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</row>
    <row r="469" spans="1:28" ht="15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</row>
    <row r="470" spans="1:28" ht="15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</row>
    <row r="471" spans="1:28" ht="15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</row>
    <row r="472" spans="1:28" ht="15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</row>
    <row r="473" spans="1:28" ht="15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</row>
    <row r="474" spans="1:28" ht="15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</row>
    <row r="475" spans="1:28" ht="1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</row>
    <row r="476" spans="1:28" ht="15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</row>
    <row r="477" spans="1:28" ht="15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</row>
    <row r="478" spans="1:28" ht="15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</row>
    <row r="479" spans="1:28" ht="15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</row>
    <row r="480" spans="1:28" ht="15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</row>
    <row r="481" spans="1:28" ht="15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</row>
    <row r="482" spans="1:28" ht="15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</row>
    <row r="483" spans="1:28" ht="15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</row>
    <row r="484" spans="1:28" ht="15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</row>
    <row r="485" spans="1:28" ht="1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</row>
    <row r="486" spans="1:28" ht="15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</row>
    <row r="487" spans="1:28" ht="15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</row>
    <row r="488" spans="1:28" ht="15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</row>
    <row r="489" spans="1:28" ht="15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</row>
    <row r="490" spans="1:28" ht="15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</row>
    <row r="491" spans="1:28" ht="15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</row>
    <row r="492" spans="1:28" ht="15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</row>
    <row r="493" spans="1:28" ht="15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</row>
    <row r="494" spans="1:28" ht="15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</row>
    <row r="495" spans="1:28" ht="1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</row>
    <row r="496" spans="1:28" ht="15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</row>
    <row r="497" spans="1:28" ht="15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</row>
    <row r="498" spans="1:28" ht="15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</row>
    <row r="499" spans="1:28" ht="15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</row>
    <row r="500" spans="1:28" ht="15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</row>
    <row r="501" spans="1:28" ht="15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</row>
    <row r="502" spans="1:28" ht="15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</row>
    <row r="503" spans="1:28" ht="15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</row>
    <row r="504" spans="1:28" ht="15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</row>
    <row r="505" spans="1:28" ht="1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</row>
    <row r="506" spans="1:28" ht="15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</row>
    <row r="507" spans="1:28" ht="15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</row>
    <row r="508" spans="1:28" ht="15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</row>
    <row r="509" spans="1:28" ht="15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</row>
    <row r="510" spans="1:28" ht="15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</row>
    <row r="511" spans="1:28" ht="15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</row>
    <row r="512" spans="1:28" ht="15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</row>
    <row r="513" spans="1:28" ht="15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</row>
    <row r="514" spans="1:28" ht="15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</row>
    <row r="515" spans="1:28" ht="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</row>
    <row r="516" spans="1:28" ht="15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</row>
    <row r="517" spans="1:28" ht="15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</row>
    <row r="518" spans="1:28" ht="15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</row>
    <row r="519" spans="1:28" ht="15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</row>
    <row r="520" spans="1:28" ht="15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</row>
    <row r="521" spans="1:28" ht="15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</row>
    <row r="522" spans="1:28" ht="15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</row>
    <row r="523" spans="1:28" ht="15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</row>
    <row r="524" spans="1:28" ht="15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</row>
    <row r="525" spans="1:28" ht="1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</row>
    <row r="526" spans="1:28" ht="15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</row>
    <row r="527" spans="1:28" ht="15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</row>
    <row r="528" spans="1:28" ht="15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</row>
    <row r="529" spans="1:28" ht="15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</row>
    <row r="530" spans="1:28" ht="15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</row>
    <row r="531" spans="1:28" ht="15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</row>
    <row r="532" spans="1:28" ht="15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</row>
    <row r="533" spans="1:28" ht="15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</row>
    <row r="534" spans="1:28" ht="15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</row>
    <row r="535" spans="1:28" ht="1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</row>
    <row r="536" spans="1:28" ht="15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</row>
    <row r="537" spans="1:28" ht="15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</row>
    <row r="538" spans="1:28" ht="15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</row>
    <row r="539" spans="1:28" ht="15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</row>
    <row r="540" spans="1:28" ht="15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</row>
    <row r="541" spans="1:28" ht="15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</row>
    <row r="542" spans="1:28" ht="15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</row>
    <row r="543" spans="1:28" ht="15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</row>
    <row r="544" spans="1:28" ht="15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</row>
    <row r="545" spans="1:28" ht="1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</row>
    <row r="546" spans="1:28" ht="15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</row>
    <row r="547" spans="1:28" ht="15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</row>
    <row r="548" spans="1:28" ht="15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</row>
    <row r="549" spans="1:28" ht="15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</row>
    <row r="550" spans="1:28" ht="15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</row>
    <row r="551" spans="1:28" ht="15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</row>
    <row r="552" spans="1:28" ht="15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</row>
    <row r="553" spans="1:28" ht="15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</row>
    <row r="554" spans="1:28" ht="15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</row>
    <row r="555" spans="1:28" ht="1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</row>
    <row r="556" spans="1:28" ht="15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</row>
    <row r="557" spans="1:28" ht="15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</row>
    <row r="558" spans="1:28" ht="15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</row>
    <row r="559" spans="1:28" ht="15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</row>
    <row r="560" spans="1:28" ht="15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</row>
    <row r="561" spans="1:28" ht="15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</row>
    <row r="562" spans="1:28" ht="15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</row>
    <row r="563" spans="1:28" ht="15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</row>
    <row r="564" spans="1:28" ht="15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</row>
    <row r="565" spans="1:28" ht="1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</row>
    <row r="566" spans="1:28" ht="15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</row>
    <row r="567" spans="1:28" ht="15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</row>
    <row r="568" spans="1:28" ht="15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</row>
    <row r="569" spans="1:28" ht="15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</row>
    <row r="570" spans="1:28" ht="15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</row>
    <row r="571" spans="1:28" ht="15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</row>
    <row r="572" spans="1:28" ht="15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</row>
    <row r="573" spans="1:28" ht="15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</row>
    <row r="574" spans="1:28" ht="15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</row>
    <row r="575" spans="1:28" ht="1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</row>
    <row r="576" spans="1:28" ht="15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</row>
    <row r="577" spans="1:28" ht="15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</row>
    <row r="578" spans="1:28" ht="15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</row>
    <row r="579" spans="1:28" ht="15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</row>
    <row r="580" spans="1:28" ht="15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</row>
    <row r="581" spans="1:28" ht="15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</row>
    <row r="582" spans="1:28" ht="15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</row>
    <row r="583" spans="1:28" ht="15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</row>
    <row r="584" spans="1:28" ht="15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</row>
    <row r="585" spans="1:28" ht="1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</row>
    <row r="586" spans="1:28" ht="15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</row>
    <row r="587" spans="1:28" ht="15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</row>
    <row r="588" spans="1:28" ht="15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</row>
    <row r="589" spans="1:28" ht="15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</row>
    <row r="590" spans="1:28" ht="15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</row>
    <row r="591" spans="1:28" ht="15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</row>
    <row r="592" spans="1:28" ht="15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</row>
    <row r="593" spans="1:28" ht="15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</row>
    <row r="594" spans="1:28" ht="15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</row>
    <row r="595" spans="1:28" ht="1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</row>
    <row r="596" spans="1:28" ht="15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</row>
    <row r="597" spans="1:28" ht="15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</row>
    <row r="598" spans="1:28" ht="15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</row>
    <row r="599" spans="1:28" ht="15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</row>
    <row r="600" spans="1:28" ht="15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</row>
    <row r="601" spans="1:28" ht="15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</row>
    <row r="602" spans="1:28" ht="15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</row>
    <row r="603" spans="1:28" ht="15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</row>
    <row r="604" spans="1:28" ht="15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</row>
    <row r="605" spans="1:28" ht="1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</row>
    <row r="606" spans="1:28" ht="15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</row>
    <row r="607" spans="1:28" ht="15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</row>
    <row r="608" spans="1:28" ht="15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</row>
    <row r="609" spans="1:28" ht="15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</row>
    <row r="610" spans="1:28" ht="15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</row>
    <row r="611" spans="1:28" ht="15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</row>
    <row r="612" spans="1:28" ht="15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</row>
    <row r="613" spans="1:28" ht="15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</row>
    <row r="614" spans="1:28" ht="15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</row>
    <row r="615" spans="1:28" ht="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</row>
    <row r="616" spans="1:28" ht="15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</row>
    <row r="617" spans="1:28" ht="15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</row>
    <row r="618" spans="1:28" ht="15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</row>
    <row r="619" spans="1:28" ht="15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</row>
    <row r="620" spans="1:28" ht="15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</row>
    <row r="621" spans="1:28" ht="15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</row>
    <row r="622" spans="1:28" ht="15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</row>
    <row r="623" spans="1:28" ht="15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</row>
    <row r="624" spans="1:28" ht="15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</row>
    <row r="625" spans="1:28" ht="1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</row>
    <row r="626" spans="1:28" ht="15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</row>
    <row r="627" spans="1:28" ht="15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</row>
    <row r="628" spans="1:28" ht="15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</row>
    <row r="629" spans="1:28" ht="15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</row>
    <row r="630" spans="1:28" ht="15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</row>
    <row r="631" spans="1:28" ht="15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</row>
    <row r="632" spans="1:28" ht="15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</row>
    <row r="633" spans="1:28" ht="15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</row>
    <row r="634" spans="1:28" ht="15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</row>
    <row r="635" spans="1:28" ht="1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</row>
    <row r="636" spans="1:28" ht="15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</row>
    <row r="637" spans="1:28" ht="15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</row>
    <row r="638" spans="1:28" ht="15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</row>
    <row r="639" spans="1:28" ht="15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</row>
    <row r="640" spans="1:28" ht="15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</row>
    <row r="641" spans="1:28" ht="15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</row>
    <row r="642" spans="1:28" ht="15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</row>
    <row r="643" spans="1:28" ht="15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</row>
    <row r="644" spans="1:28" ht="15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</row>
    <row r="645" spans="1:28" ht="1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</row>
    <row r="646" spans="1:28" ht="15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</row>
    <row r="647" spans="1:28" ht="15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</row>
    <row r="648" spans="1:28" ht="15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</row>
    <row r="649" spans="1:28" ht="15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</row>
    <row r="650" spans="1:28" ht="15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</row>
    <row r="651" spans="1:28" ht="15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</row>
    <row r="652" spans="1:28" ht="15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</row>
    <row r="653" spans="1:28" ht="15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</row>
    <row r="654" spans="1:28" ht="15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</row>
    <row r="655" spans="1:28" ht="1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</row>
    <row r="656" spans="1:28" ht="15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</row>
    <row r="657" spans="1:28" ht="15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</row>
    <row r="658" spans="1:28" ht="15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</row>
    <row r="659" spans="1:28" ht="15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</row>
    <row r="660" spans="1:28" ht="15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</row>
    <row r="661" spans="1:28" ht="15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</row>
    <row r="662" spans="1:28" ht="15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</row>
    <row r="663" spans="1:28" ht="15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</row>
    <row r="664" spans="1:28" ht="15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</row>
    <row r="665" spans="1:28" ht="1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</row>
    <row r="666" spans="1:28" ht="15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</row>
    <row r="667" spans="1:28" ht="15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</row>
    <row r="668" spans="1:28" ht="15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</row>
    <row r="669" spans="1:28" ht="15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</row>
    <row r="670" spans="1:28" ht="15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</row>
    <row r="671" spans="1:28" ht="15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</row>
    <row r="672" spans="1:28" ht="15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</row>
    <row r="673" spans="1:28" ht="15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</row>
    <row r="674" spans="1:28" ht="15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</row>
    <row r="675" spans="1:28" ht="1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</row>
    <row r="676" spans="1:28" ht="15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</row>
    <row r="677" spans="1:28" ht="15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</row>
    <row r="678" spans="1:28" ht="15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</row>
    <row r="679" spans="1:28" ht="15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</row>
    <row r="680" spans="1:28" ht="15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</row>
    <row r="681" spans="1:28" ht="15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</row>
    <row r="682" spans="1:28" ht="15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</row>
    <row r="683" spans="1:28" ht="15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</row>
    <row r="684" spans="1:28" ht="15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</row>
    <row r="685" spans="1:28" ht="1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</row>
    <row r="686" spans="1:28" ht="15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</row>
    <row r="687" spans="1:28" ht="15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</row>
    <row r="688" spans="1:28" ht="15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</row>
    <row r="689" spans="1:28" ht="15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</row>
    <row r="690" spans="1:28" ht="15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</row>
    <row r="691" spans="1:28" ht="15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</row>
    <row r="692" spans="1:28" ht="15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</row>
    <row r="693" spans="1:28" ht="15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</row>
    <row r="694" spans="1:28" ht="15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</row>
    <row r="695" spans="1:28" ht="1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</row>
    <row r="696" spans="1:28" ht="15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</row>
    <row r="697" spans="1:28" ht="15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</row>
    <row r="698" spans="1:28" ht="15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</row>
    <row r="699" spans="1:28" ht="15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</row>
    <row r="700" spans="1:28" ht="15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</row>
    <row r="701" spans="1:28" ht="15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</row>
    <row r="702" spans="1:28" ht="15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</row>
    <row r="703" spans="1:28" ht="15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</row>
    <row r="704" spans="1:28" ht="15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</row>
    <row r="705" spans="1:28" ht="1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</row>
    <row r="706" spans="1:28" ht="15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</row>
    <row r="707" spans="1:28" ht="15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</row>
    <row r="708" spans="1:28" ht="15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</row>
    <row r="709" spans="1:28" ht="15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</row>
    <row r="710" spans="1:28" ht="15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</row>
    <row r="711" spans="1:28" ht="15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</row>
    <row r="712" spans="1:28" ht="15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</row>
    <row r="713" spans="1:28" ht="15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</row>
    <row r="714" spans="1:28" ht="15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</row>
    <row r="715" spans="1:28" ht="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</row>
    <row r="716" spans="1:28" ht="15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</row>
    <row r="717" spans="1:28" ht="15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</row>
    <row r="718" spans="1:28" ht="15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</row>
    <row r="719" spans="1:28" ht="15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</row>
    <row r="720" spans="1:28" ht="15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</row>
    <row r="721" spans="1:28" ht="15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</row>
    <row r="722" spans="1:28" ht="15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</row>
    <row r="723" spans="1:28" ht="15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</row>
    <row r="724" spans="1:28" ht="15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</row>
    <row r="725" spans="1:28" ht="1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</row>
    <row r="726" spans="1:28" ht="15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</row>
    <row r="727" spans="1:28" ht="15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</row>
    <row r="728" spans="1:28" ht="15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</row>
    <row r="729" spans="1:28" ht="15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</row>
    <row r="730" spans="1:28" ht="15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</row>
    <row r="731" spans="1:28" ht="15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</row>
    <row r="732" spans="1:28" ht="15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</row>
    <row r="733" spans="1:28" ht="15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</row>
    <row r="734" spans="1:28" ht="15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</row>
    <row r="735" spans="1:28" ht="1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</row>
    <row r="736" spans="1:28" ht="15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</row>
    <row r="737" spans="1:28" ht="15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</row>
    <row r="738" spans="1:28" ht="15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</row>
    <row r="739" spans="1:28" ht="15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</row>
    <row r="740" spans="1:28" ht="15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</row>
    <row r="741" spans="1:28" ht="15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</row>
    <row r="742" spans="1:28" ht="15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</row>
    <row r="743" spans="1:28" ht="15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</row>
    <row r="744" spans="1:28" ht="15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</row>
    <row r="745" spans="1:28" ht="1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</row>
    <row r="746" spans="1:28" ht="15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</row>
    <row r="747" spans="1:28" ht="15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</row>
    <row r="748" spans="1:28" ht="15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</row>
    <row r="749" spans="1:28" ht="15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</row>
    <row r="750" spans="1:28" ht="15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</row>
    <row r="751" spans="1:28" ht="15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</row>
    <row r="752" spans="1:28" ht="15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</row>
    <row r="753" spans="1:28" ht="15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</row>
    <row r="754" spans="1:28" ht="15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</row>
    <row r="755" spans="1:28" ht="1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</row>
    <row r="756" spans="1:28" ht="15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</row>
    <row r="757" spans="1:28" ht="15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</row>
    <row r="758" spans="1:28" ht="15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</row>
    <row r="759" spans="1:28" ht="15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</row>
    <row r="760" spans="1:28" ht="15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</row>
    <row r="761" spans="1:28" ht="15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</row>
    <row r="762" spans="1:28" ht="15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</row>
    <row r="763" spans="1:28" ht="15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</row>
    <row r="764" spans="1:28" ht="15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</row>
    <row r="765" spans="1:28" ht="1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</row>
    <row r="766" spans="1:28" ht="15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</row>
    <row r="767" spans="1:28" ht="15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</row>
    <row r="768" spans="1:28" ht="15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</row>
    <row r="769" spans="1:28" ht="15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</row>
    <row r="770" spans="1:28" ht="15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</row>
    <row r="771" spans="1:28" ht="15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</row>
    <row r="772" spans="1:28" ht="15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</row>
    <row r="773" spans="1:28" ht="15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</row>
    <row r="774" spans="1:28" ht="15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</row>
    <row r="775" spans="1:28" ht="1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</row>
    <row r="776" spans="1:28" ht="15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</row>
    <row r="777" spans="1:28" ht="15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</row>
    <row r="778" spans="1:28" ht="15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</row>
    <row r="779" spans="1:28" ht="15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</row>
    <row r="780" spans="1:28" ht="15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</row>
    <row r="781" spans="1:28" ht="15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</row>
    <row r="782" spans="1:28" ht="15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</row>
    <row r="783" spans="1:28" ht="15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</row>
    <row r="784" spans="1:28" ht="15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</row>
    <row r="785" spans="1:28" ht="1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</row>
    <row r="786" spans="1:28" ht="15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</row>
    <row r="787" spans="1:28" ht="15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</row>
    <row r="788" spans="1:28" ht="15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</row>
    <row r="789" spans="1:28" ht="15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</row>
    <row r="790" spans="1:28" ht="15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</row>
    <row r="791" spans="1:28" ht="15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</row>
    <row r="792" spans="1:28" ht="15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</row>
    <row r="793" spans="1:28" ht="15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</row>
    <row r="794" spans="1:28" ht="15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</row>
    <row r="795" spans="1:28" ht="1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</row>
    <row r="796" spans="1:28" ht="15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</row>
    <row r="797" spans="1:28" ht="15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</row>
    <row r="798" spans="1:28" ht="15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</row>
    <row r="799" spans="1:28" ht="15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</row>
    <row r="800" spans="1:28" ht="15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</row>
    <row r="801" spans="1:28" ht="15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</row>
    <row r="802" spans="1:28" ht="15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</row>
    <row r="803" spans="1:28" ht="15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</row>
    <row r="804" spans="1:28" ht="15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</row>
    <row r="805" spans="1:28" ht="1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</row>
    <row r="806" spans="1:28" ht="15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</row>
    <row r="807" spans="1:28" ht="15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</row>
    <row r="808" spans="1:28" ht="15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</row>
    <row r="809" spans="1:28" ht="15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</row>
    <row r="810" spans="1:28" ht="15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</row>
    <row r="811" spans="1:28" ht="15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</row>
    <row r="812" spans="1:28" ht="15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</row>
    <row r="813" spans="1:28" ht="15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</row>
    <row r="814" spans="1:28" ht="15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</row>
    <row r="815" spans="1:28" ht="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</row>
    <row r="816" spans="1:28" ht="15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</row>
    <row r="817" spans="1:28" ht="15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</row>
    <row r="818" spans="1:28" ht="15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</row>
    <row r="819" spans="1:28" ht="15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</row>
    <row r="820" spans="1:28" ht="15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</row>
    <row r="821" spans="1:28" ht="15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</row>
    <row r="822" spans="1:28" ht="15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</row>
    <row r="823" spans="1:28" ht="15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</row>
    <row r="824" spans="1:28" ht="15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</row>
    <row r="825" spans="1:28" ht="1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</row>
    <row r="826" spans="1:28" ht="15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</row>
    <row r="827" spans="1:28" ht="15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</row>
    <row r="828" spans="1:28" ht="15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</row>
    <row r="829" spans="1:28" ht="15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</row>
    <row r="830" spans="1:28" ht="15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</row>
    <row r="831" spans="1:28" ht="15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</row>
    <row r="832" spans="1:28" ht="15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</row>
    <row r="833" spans="1:28" ht="15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</row>
    <row r="834" spans="1:28" ht="15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</row>
    <row r="835" spans="1:28" ht="1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</row>
    <row r="836" spans="1:28" ht="15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</row>
    <row r="837" spans="1:28" ht="15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</row>
    <row r="838" spans="1:28" ht="15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</row>
    <row r="839" spans="1:28" ht="15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</row>
    <row r="840" spans="1:28" ht="15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</row>
    <row r="841" spans="1:28" ht="15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</row>
    <row r="842" spans="1:28" ht="15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</row>
    <row r="843" spans="1:28" ht="15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</row>
    <row r="844" spans="1:28" ht="15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</row>
    <row r="845" spans="1:28" ht="1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</row>
    <row r="846" spans="1:28" ht="15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</row>
    <row r="847" spans="1:28" ht="15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</row>
    <row r="848" spans="1:28" ht="15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</row>
    <row r="849" spans="1:28" ht="15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</row>
    <row r="850" spans="1:28" ht="15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</row>
    <row r="851" spans="1:28" ht="15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</row>
    <row r="852" spans="1:28" ht="15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</row>
    <row r="853" spans="1:28" ht="15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</row>
    <row r="854" spans="1:28" ht="15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</row>
    <row r="855" spans="1:28" ht="1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</row>
    <row r="856" spans="1:28" ht="15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</row>
    <row r="857" spans="1:28" ht="15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</row>
    <row r="858" spans="1:28" ht="15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</row>
    <row r="859" spans="1:28" ht="15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</row>
    <row r="860" spans="1:28" ht="15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</row>
    <row r="861" spans="1:28" ht="15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</row>
    <row r="862" spans="1:28" ht="15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</row>
    <row r="863" spans="1:28" ht="15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</row>
    <row r="864" spans="1:28" ht="15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</row>
    <row r="865" spans="1:28" ht="1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</row>
    <row r="866" spans="1:28" ht="15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</row>
    <row r="867" spans="1:28" ht="15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</row>
    <row r="868" spans="1:28" ht="15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</row>
    <row r="869" spans="1:28" ht="15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</row>
    <row r="870" spans="1:28" ht="15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</row>
    <row r="871" spans="1:28" ht="15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</row>
    <row r="872" spans="1:28" ht="15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</row>
    <row r="873" spans="1:28" ht="15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</row>
    <row r="874" spans="1:28" ht="15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</row>
    <row r="875" spans="1:28" ht="1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</row>
    <row r="876" spans="1:28" ht="15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</row>
    <row r="877" spans="1:28" ht="15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</row>
    <row r="878" spans="1:28" ht="15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</row>
    <row r="879" spans="1:28" ht="15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</row>
    <row r="880" spans="1:28" ht="15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</row>
    <row r="881" spans="1:28" ht="15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</row>
    <row r="882" spans="1:28" ht="15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</row>
    <row r="883" spans="1:28" ht="15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</row>
    <row r="884" spans="1:28" ht="15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</row>
    <row r="885" spans="1:28" ht="1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</row>
    <row r="886" spans="1:28" ht="15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</row>
    <row r="887" spans="1:28" ht="15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</row>
    <row r="888" spans="1:28" ht="15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</row>
    <row r="889" spans="1:28" ht="15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</row>
    <row r="890" spans="1:28" ht="15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</row>
    <row r="891" spans="1:28" ht="15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</row>
    <row r="892" spans="1:28" ht="15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</row>
    <row r="893" spans="1:28" ht="15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</row>
    <row r="894" spans="1:28" ht="15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</row>
    <row r="895" spans="1:28" ht="1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</row>
    <row r="896" spans="1:28" ht="15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</row>
    <row r="897" spans="1:28" ht="15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</row>
    <row r="898" spans="1:28" ht="15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</row>
    <row r="899" spans="1:28" ht="15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</row>
    <row r="900" spans="1:28" ht="15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</row>
    <row r="901" spans="1:28" ht="15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</row>
    <row r="902" spans="1:28" ht="15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</row>
    <row r="903" spans="1:28" ht="15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</row>
    <row r="904" spans="1:28" ht="15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</row>
    <row r="905" spans="1:28" ht="1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</row>
    <row r="906" spans="1:28" ht="15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</row>
    <row r="907" spans="1:28" ht="15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</row>
    <row r="908" spans="1:28" ht="15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</row>
    <row r="909" spans="1:28" ht="15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</row>
    <row r="910" spans="1:28" ht="15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</row>
    <row r="911" spans="1:28" ht="15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</row>
    <row r="912" spans="1:28" ht="15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</row>
    <row r="913" spans="1:28" ht="15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</row>
    <row r="914" spans="1:28" ht="15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</row>
    <row r="915" spans="1:28" ht="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</row>
    <row r="916" spans="1:28" ht="15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</row>
    <row r="917" spans="1:28" ht="15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</row>
    <row r="918" spans="1:28" ht="15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</row>
    <row r="919" spans="1:28" ht="15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</row>
    <row r="920" spans="1:28" ht="15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</row>
    <row r="921" spans="1:28" ht="15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</row>
    <row r="922" spans="1:28" ht="15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</row>
    <row r="923" spans="1:28" ht="15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</row>
    <row r="924" spans="1:28" ht="15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</row>
    <row r="925" spans="1:28" ht="1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</row>
    <row r="926" spans="1:28" ht="15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</row>
    <row r="927" spans="1:28" ht="15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</row>
    <row r="928" spans="1:28" ht="15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</row>
    <row r="929" spans="1:28" ht="15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</row>
    <row r="930" spans="1:28" ht="15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</row>
    <row r="931" spans="1:28" ht="15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</row>
    <row r="932" spans="1:28" ht="15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</row>
    <row r="933" spans="1:28" ht="15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</row>
    <row r="934" spans="1:28" ht="15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</row>
    <row r="935" spans="1:28" ht="1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</row>
    <row r="936" spans="1:28" ht="15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</row>
    <row r="937" spans="1:28" ht="15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</row>
    <row r="938" spans="1:28" ht="15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</row>
    <row r="939" spans="1:28" ht="15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</row>
    <row r="940" spans="1:28" ht="15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</row>
    <row r="941" spans="1:28" ht="15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</row>
    <row r="942" spans="1:28" ht="15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</row>
    <row r="943" spans="1:28" ht="15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</row>
    <row r="944" spans="1:28" ht="15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</row>
    <row r="945" spans="1:28" ht="1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</row>
    <row r="946" spans="1:28" ht="15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</row>
    <row r="947" spans="1:28" ht="15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</row>
    <row r="948" spans="1:28" ht="15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</row>
    <row r="949" spans="1:28" ht="15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</row>
    <row r="950" spans="1:28" ht="15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</row>
    <row r="951" spans="1:28" ht="15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</row>
    <row r="952" spans="1:28" ht="15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</row>
    <row r="953" spans="1:28" ht="15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</row>
    <row r="954" spans="1:28" ht="15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</row>
    <row r="955" spans="1:28" ht="1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</row>
    <row r="956" spans="1:28" ht="15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</row>
    <row r="957" spans="1:28" ht="15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</row>
    <row r="958" spans="1:28" ht="15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</row>
    <row r="959" spans="1:28" ht="15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</row>
    <row r="960" spans="1:28" ht="15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</row>
    <row r="961" spans="1:28" ht="15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</row>
    <row r="962" spans="1:28" ht="15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</row>
    <row r="963" spans="1:28" ht="15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</row>
    <row r="964" spans="1:28" ht="15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</row>
    <row r="965" spans="1:28" ht="1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</row>
    <row r="966" spans="1:28" ht="15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</row>
    <row r="967" spans="1:28" ht="15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</row>
    <row r="968" spans="1:28" ht="15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</row>
    <row r="969" spans="1:28" ht="15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</row>
    <row r="970" spans="1:28" ht="15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</row>
    <row r="971" spans="1:28" ht="15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</row>
    <row r="972" spans="1:28" ht="15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</row>
    <row r="973" spans="1:28" ht="15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</row>
    <row r="974" spans="1:28" ht="15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</row>
    <row r="975" spans="1:28" ht="1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</row>
    <row r="976" spans="1:28" ht="15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</row>
    <row r="977" spans="1:28" ht="15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</row>
    <row r="978" spans="1:28" ht="15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</row>
    <row r="979" spans="1:28" ht="15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</row>
    <row r="980" spans="1:28" ht="15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</row>
    <row r="981" spans="1:28" ht="15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</row>
    <row r="982" spans="1:28" ht="15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</row>
    <row r="983" spans="1:28" ht="15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</row>
    <row r="984" spans="1:28" ht="15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</row>
    <row r="985" spans="1:28" ht="1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</row>
    <row r="986" spans="1:28" ht="15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</row>
    <row r="987" spans="1:28" ht="15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</row>
    <row r="988" spans="1:28" ht="15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</row>
    <row r="989" spans="1:28" ht="15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</row>
    <row r="990" spans="1:28" ht="15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</row>
    <row r="991" spans="1:28" ht="15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</row>
    <row r="992" spans="1:28" ht="15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</row>
    <row r="993" spans="1:28" ht="15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</row>
    <row r="994" spans="1:28" ht="15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</row>
    <row r="995" spans="1:28" ht="1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</row>
    <row r="996" spans="1:28" ht="15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</row>
    <row r="997" spans="1:28" ht="15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</row>
    <row r="998" spans="1:28" ht="15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</row>
    <row r="999" spans="1:28" ht="15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</row>
    <row r="1000" spans="1:28" ht="15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</row>
  </sheetData>
  <autoFilter ref="A1:I26" xr:uid="{00000000-0009-0000-0000-000006000000}"/>
  <phoneticPr fontId="73" type="noConversion"/>
  <dataValidations count="4">
    <dataValidation type="list" allowBlank="1" showErrorMessage="1" sqref="F2:F10" xr:uid="{00000000-0002-0000-0600-000000000000}">
      <formula1>"상대적으로 낮음,평균,상대적으로 높음"</formula1>
    </dataValidation>
    <dataValidation type="list" allowBlank="1" showErrorMessage="1" sqref="G2:G9" xr:uid="{00000000-0002-0000-0600-000001000000}">
      <formula1>"좋음,보통,나쁨"</formula1>
    </dataValidation>
    <dataValidation type="list" allowBlank="1" showErrorMessage="1" sqref="E2:E9" xr:uid="{00000000-0002-0000-0600-000002000000}">
      <formula1>"원활, 빠름,종종 확인 늦음,불편할 정도"</formula1>
    </dataValidation>
    <dataValidation type="list" allowBlank="1" showErrorMessage="1" sqref="B2:B10" xr:uid="{00000000-0002-0000-0600-000003000000}">
      <formula1>"현재 진행,컨택 중,드랍"</formula1>
    </dataValidation>
  </dataValidations>
  <hyperlinks>
    <hyperlink ref="C2" r:id="rId1" xr:uid="{00000000-0004-0000-0600-000000000000}"/>
    <hyperlink ref="C3" r:id="rId2" xr:uid="{00000000-0004-0000-0600-000001000000}"/>
    <hyperlink ref="C4" r:id="rId3" xr:uid="{00000000-0004-0000-0600-000002000000}"/>
    <hyperlink ref="C5" r:id="rId4" xr:uid="{00000000-0004-0000-0600-000003000000}"/>
    <hyperlink ref="C6" r:id="rId5" xr:uid="{00000000-0004-0000-0600-000004000000}"/>
    <hyperlink ref="C7" r:id="rId6" xr:uid="{00000000-0004-0000-0600-000005000000}"/>
    <hyperlink ref="C9" r:id="rId7" xr:uid="{00000000-0004-0000-0600-000006000000}"/>
    <hyperlink ref="C10" r:id="rId8" xr:uid="{00000000-0004-0000-0600-00000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37"/>
  <sheetViews>
    <sheetView workbookViewId="0"/>
  </sheetViews>
  <sheetFormatPr defaultColWidth="14.42578125" defaultRowHeight="15.75" customHeight="1"/>
  <cols>
    <col min="1" max="1" width="14.5703125" customWidth="1"/>
    <col min="2" max="2" width="15.140625" customWidth="1"/>
    <col min="3" max="3" width="15" customWidth="1"/>
    <col min="4" max="4" width="10.28515625" customWidth="1"/>
    <col min="5" max="5" width="17.42578125" customWidth="1"/>
    <col min="6" max="6" width="15.5703125" customWidth="1"/>
  </cols>
  <sheetData>
    <row r="1" spans="1:17" ht="12.75">
      <c r="A1" s="50" t="s">
        <v>812</v>
      </c>
      <c r="B1" s="50" t="s">
        <v>813</v>
      </c>
      <c r="C1" s="50" t="s">
        <v>814</v>
      </c>
      <c r="D1" s="50" t="s">
        <v>815</v>
      </c>
      <c r="E1" s="50" t="s">
        <v>816</v>
      </c>
      <c r="F1" s="50" t="s">
        <v>817</v>
      </c>
      <c r="J1" s="1" t="s">
        <v>818</v>
      </c>
    </row>
    <row r="2" spans="1:17" ht="12.75" hidden="1">
      <c r="A2" s="50">
        <v>1044564464</v>
      </c>
      <c r="B2" s="50" t="s">
        <v>819</v>
      </c>
      <c r="C2" s="50" t="s">
        <v>820</v>
      </c>
      <c r="D2" s="50" t="s">
        <v>821</v>
      </c>
      <c r="E2" s="50" t="s">
        <v>822</v>
      </c>
      <c r="F2" s="50" t="s">
        <v>823</v>
      </c>
    </row>
    <row r="3" spans="1:17" ht="12.75" hidden="1">
      <c r="A3" s="50">
        <v>1029353029</v>
      </c>
      <c r="B3" s="50" t="s">
        <v>824</v>
      </c>
      <c r="C3" s="50" t="s">
        <v>825</v>
      </c>
      <c r="D3" s="50" t="s">
        <v>826</v>
      </c>
      <c r="E3" s="50" t="s">
        <v>827</v>
      </c>
      <c r="F3" s="50" t="s">
        <v>823</v>
      </c>
    </row>
    <row r="4" spans="1:17" ht="12.75" hidden="1">
      <c r="A4" s="50">
        <v>1046323676</v>
      </c>
      <c r="B4" s="50" t="s">
        <v>828</v>
      </c>
      <c r="C4" s="50" t="s">
        <v>829</v>
      </c>
      <c r="D4" s="50" t="s">
        <v>826</v>
      </c>
      <c r="E4" s="50" t="s">
        <v>827</v>
      </c>
      <c r="F4" s="50" t="s">
        <v>823</v>
      </c>
    </row>
    <row r="5" spans="1:17" ht="12.75" hidden="1">
      <c r="A5" s="50">
        <v>1042902209</v>
      </c>
      <c r="B5" s="50" t="s">
        <v>830</v>
      </c>
      <c r="C5" s="50" t="s">
        <v>831</v>
      </c>
      <c r="D5" s="50" t="s">
        <v>826</v>
      </c>
      <c r="E5" s="50" t="s">
        <v>827</v>
      </c>
      <c r="F5" s="1" t="s">
        <v>832</v>
      </c>
    </row>
    <row r="6" spans="1:17" ht="12.75" hidden="1">
      <c r="A6" s="50" t="s">
        <v>833</v>
      </c>
      <c r="B6" s="50" t="s">
        <v>834</v>
      </c>
      <c r="C6" s="50" t="s">
        <v>831</v>
      </c>
      <c r="D6" s="50" t="s">
        <v>821</v>
      </c>
      <c r="E6" s="50" t="s">
        <v>822</v>
      </c>
      <c r="F6" s="1" t="s">
        <v>832</v>
      </c>
    </row>
    <row r="7" spans="1:17" ht="12.75" hidden="1">
      <c r="A7" s="1" t="s">
        <v>835</v>
      </c>
      <c r="B7" s="1" t="s">
        <v>836</v>
      </c>
      <c r="C7" s="1" t="s">
        <v>837</v>
      </c>
      <c r="D7" s="1" t="s">
        <v>826</v>
      </c>
      <c r="E7" s="50" t="s">
        <v>827</v>
      </c>
      <c r="F7" s="1" t="s">
        <v>832</v>
      </c>
    </row>
    <row r="8" spans="1:17" ht="12.75" hidden="1">
      <c r="A8" s="1" t="s">
        <v>838</v>
      </c>
      <c r="B8" s="1" t="s">
        <v>839</v>
      </c>
      <c r="C8" s="50" t="s">
        <v>840</v>
      </c>
      <c r="D8" s="50" t="s">
        <v>821</v>
      </c>
      <c r="E8" s="50" t="s">
        <v>822</v>
      </c>
      <c r="F8" s="1" t="s">
        <v>832</v>
      </c>
    </row>
    <row r="9" spans="1:17" ht="12.75" hidden="1">
      <c r="A9" s="1">
        <v>1028162306</v>
      </c>
      <c r="B9" s="1" t="s">
        <v>841</v>
      </c>
      <c r="C9" s="1" t="s">
        <v>842</v>
      </c>
      <c r="D9" s="1" t="s">
        <v>826</v>
      </c>
      <c r="E9" s="50" t="s">
        <v>827</v>
      </c>
      <c r="F9" s="1" t="s">
        <v>832</v>
      </c>
    </row>
    <row r="10" spans="1:17" ht="12.75" hidden="1">
      <c r="A10" s="1" t="s">
        <v>843</v>
      </c>
      <c r="B10" s="1" t="s">
        <v>844</v>
      </c>
      <c r="C10" s="1" t="s">
        <v>845</v>
      </c>
      <c r="D10" s="1" t="s">
        <v>826</v>
      </c>
      <c r="E10" s="50" t="s">
        <v>827</v>
      </c>
      <c r="F10" s="1" t="s">
        <v>832</v>
      </c>
    </row>
    <row r="11" spans="1:17" ht="12.75">
      <c r="A11" s="1" t="s">
        <v>846</v>
      </c>
      <c r="B11" s="1" t="s">
        <v>847</v>
      </c>
      <c r="C11" s="1" t="s">
        <v>848</v>
      </c>
      <c r="D11" s="1" t="s">
        <v>826</v>
      </c>
      <c r="E11" s="50" t="s">
        <v>827</v>
      </c>
      <c r="F11" s="1" t="s">
        <v>849</v>
      </c>
      <c r="N11" s="1" t="s">
        <v>850</v>
      </c>
      <c r="Q11" s="1" t="s">
        <v>851</v>
      </c>
    </row>
    <row r="12" spans="1:17" ht="12.75">
      <c r="A12" s="50" t="s">
        <v>852</v>
      </c>
      <c r="B12" s="50" t="s">
        <v>853</v>
      </c>
      <c r="C12" s="1" t="s">
        <v>854</v>
      </c>
      <c r="D12" s="1" t="s">
        <v>826</v>
      </c>
      <c r="E12" s="50" t="s">
        <v>827</v>
      </c>
      <c r="F12" s="1" t="s">
        <v>849</v>
      </c>
      <c r="N12" s="1" t="s">
        <v>855</v>
      </c>
    </row>
    <row r="13" spans="1:17" ht="12.75">
      <c r="A13" s="50" t="s">
        <v>856</v>
      </c>
      <c r="B13" s="50" t="s">
        <v>857</v>
      </c>
      <c r="C13" s="1" t="s">
        <v>858</v>
      </c>
      <c r="D13" s="1" t="s">
        <v>826</v>
      </c>
      <c r="E13" s="50" t="s">
        <v>827</v>
      </c>
      <c r="F13" s="1" t="s">
        <v>849</v>
      </c>
      <c r="N13" s="1" t="s">
        <v>859</v>
      </c>
    </row>
    <row r="14" spans="1:17" ht="12.75">
      <c r="A14" s="50" t="s">
        <v>860</v>
      </c>
      <c r="B14" s="50" t="s">
        <v>861</v>
      </c>
      <c r="C14" s="2">
        <v>45816</v>
      </c>
      <c r="D14" s="1" t="s">
        <v>821</v>
      </c>
      <c r="E14" s="1" t="s">
        <v>862</v>
      </c>
      <c r="F14" s="1" t="s">
        <v>849</v>
      </c>
    </row>
    <row r="15" spans="1:17" ht="12.75" hidden="1">
      <c r="A15" s="50" t="s">
        <v>863</v>
      </c>
      <c r="B15" s="50" t="s">
        <v>241</v>
      </c>
      <c r="C15" s="1" t="s">
        <v>864</v>
      </c>
      <c r="D15" s="1" t="s">
        <v>821</v>
      </c>
      <c r="E15" s="1" t="s">
        <v>862</v>
      </c>
      <c r="F15" s="1" t="s">
        <v>849</v>
      </c>
    </row>
    <row r="16" spans="1:17" ht="12.75" hidden="1">
      <c r="A16" s="50" t="s">
        <v>865</v>
      </c>
      <c r="B16" s="50" t="s">
        <v>866</v>
      </c>
      <c r="C16" s="1" t="s">
        <v>867</v>
      </c>
      <c r="D16" s="1" t="s">
        <v>821</v>
      </c>
      <c r="E16" s="1" t="s">
        <v>862</v>
      </c>
      <c r="F16" s="1" t="s">
        <v>849</v>
      </c>
    </row>
    <row r="17" spans="1:6" ht="12.75" hidden="1">
      <c r="A17" s="50" t="s">
        <v>868</v>
      </c>
      <c r="B17" s="50" t="s">
        <v>869</v>
      </c>
      <c r="C17" s="2">
        <v>45896</v>
      </c>
      <c r="D17" s="1" t="s">
        <v>821</v>
      </c>
      <c r="E17" s="1" t="s">
        <v>862</v>
      </c>
      <c r="F17" s="1" t="s">
        <v>849</v>
      </c>
    </row>
    <row r="18" spans="1:6" ht="12.75" hidden="1">
      <c r="A18" s="50" t="s">
        <v>870</v>
      </c>
      <c r="B18" s="50" t="s">
        <v>871</v>
      </c>
      <c r="C18" s="2">
        <v>45915</v>
      </c>
      <c r="D18" s="1" t="s">
        <v>826</v>
      </c>
      <c r="E18" s="50" t="s">
        <v>827</v>
      </c>
      <c r="F18" s="1" t="s">
        <v>849</v>
      </c>
    </row>
    <row r="19" spans="1:6" ht="12.75" hidden="1">
      <c r="A19" s="50" t="s">
        <v>870</v>
      </c>
      <c r="B19" s="50" t="s">
        <v>871</v>
      </c>
      <c r="C19" s="2">
        <v>45915</v>
      </c>
      <c r="D19" s="1" t="s">
        <v>821</v>
      </c>
      <c r="E19" s="1" t="s">
        <v>862</v>
      </c>
      <c r="F19" s="1" t="s">
        <v>849</v>
      </c>
    </row>
    <row r="20" spans="1:6" ht="12.75" hidden="1">
      <c r="A20" s="1" t="s">
        <v>310</v>
      </c>
      <c r="B20" s="1" t="s">
        <v>309</v>
      </c>
      <c r="C20" s="2">
        <v>45924</v>
      </c>
      <c r="D20" s="1" t="s">
        <v>821</v>
      </c>
      <c r="E20" s="1" t="s">
        <v>862</v>
      </c>
      <c r="F20" s="1" t="s">
        <v>849</v>
      </c>
    </row>
    <row r="21" spans="1:6" ht="12.75" hidden="1">
      <c r="A21" s="1" t="s">
        <v>872</v>
      </c>
      <c r="B21" s="1" t="s">
        <v>873</v>
      </c>
      <c r="C21" s="1" t="s">
        <v>874</v>
      </c>
      <c r="D21" s="1" t="s">
        <v>826</v>
      </c>
      <c r="E21" s="50" t="s">
        <v>827</v>
      </c>
      <c r="F21" s="1" t="s">
        <v>849</v>
      </c>
    </row>
    <row r="22" spans="1:6" ht="12.75" hidden="1">
      <c r="A22" s="50" t="s">
        <v>870</v>
      </c>
      <c r="B22" s="50" t="s">
        <v>871</v>
      </c>
      <c r="C22" s="2">
        <v>45915</v>
      </c>
      <c r="D22" s="1" t="s">
        <v>875</v>
      </c>
      <c r="E22" s="1" t="s">
        <v>876</v>
      </c>
      <c r="F22" s="1" t="s">
        <v>849</v>
      </c>
    </row>
    <row r="23" spans="1:6" ht="12.75" hidden="1">
      <c r="A23" s="50" t="s">
        <v>877</v>
      </c>
      <c r="B23" s="50" t="s">
        <v>878</v>
      </c>
      <c r="C23" s="2">
        <v>45915</v>
      </c>
      <c r="D23" s="1" t="s">
        <v>821</v>
      </c>
      <c r="E23" s="1" t="s">
        <v>879</v>
      </c>
      <c r="F23" s="1" t="s">
        <v>849</v>
      </c>
    </row>
    <row r="24" spans="1:6" ht="12.75" hidden="1">
      <c r="A24" s="50" t="s">
        <v>880</v>
      </c>
      <c r="B24" s="50" t="s">
        <v>881</v>
      </c>
      <c r="C24" s="2">
        <v>45915</v>
      </c>
      <c r="D24" s="1" t="s">
        <v>821</v>
      </c>
      <c r="E24" s="1" t="s">
        <v>879</v>
      </c>
      <c r="F24" s="1" t="s">
        <v>849</v>
      </c>
    </row>
    <row r="25" spans="1:6" ht="12.75" hidden="1">
      <c r="A25" s="50" t="s">
        <v>882</v>
      </c>
      <c r="B25" s="50" t="s">
        <v>883</v>
      </c>
      <c r="C25" s="2">
        <v>45964</v>
      </c>
      <c r="D25" s="1" t="s">
        <v>821</v>
      </c>
      <c r="E25" s="1" t="s">
        <v>879</v>
      </c>
      <c r="F25" s="1" t="s">
        <v>849</v>
      </c>
    </row>
    <row r="26" spans="1:6" ht="12.75" hidden="1">
      <c r="A26" s="50" t="s">
        <v>884</v>
      </c>
      <c r="B26" s="50" t="s">
        <v>885</v>
      </c>
      <c r="C26" s="2">
        <v>45973</v>
      </c>
      <c r="D26" s="1" t="s">
        <v>821</v>
      </c>
      <c r="E26" s="1" t="s">
        <v>879</v>
      </c>
      <c r="F26" s="1" t="s">
        <v>849</v>
      </c>
    </row>
    <row r="27" spans="1:6" ht="12.75" hidden="1">
      <c r="A27" s="50" t="s">
        <v>886</v>
      </c>
      <c r="B27" s="50" t="s">
        <v>887</v>
      </c>
      <c r="C27" s="2">
        <v>45985</v>
      </c>
      <c r="D27" s="1" t="s">
        <v>826</v>
      </c>
      <c r="E27" s="1" t="s">
        <v>827</v>
      </c>
      <c r="F27" s="1" t="s">
        <v>849</v>
      </c>
    </row>
    <row r="28" spans="1:6" ht="12.75">
      <c r="A28" s="50" t="s">
        <v>886</v>
      </c>
      <c r="B28" s="50" t="s">
        <v>887</v>
      </c>
      <c r="C28" s="2">
        <v>45985</v>
      </c>
      <c r="D28" s="1" t="s">
        <v>821</v>
      </c>
      <c r="E28" s="1" t="s">
        <v>879</v>
      </c>
      <c r="F28" s="1" t="s">
        <v>849</v>
      </c>
    </row>
    <row r="29" spans="1:6" ht="12.75">
      <c r="A29" s="50" t="s">
        <v>888</v>
      </c>
      <c r="B29" s="50" t="s">
        <v>889</v>
      </c>
      <c r="C29" s="2">
        <v>46034</v>
      </c>
      <c r="D29" s="1" t="s">
        <v>826</v>
      </c>
      <c r="E29" s="1" t="s">
        <v>827</v>
      </c>
      <c r="F29" s="1" t="s">
        <v>849</v>
      </c>
    </row>
    <row r="30" spans="1:6" ht="12.75">
      <c r="A30" s="50" t="s">
        <v>890</v>
      </c>
      <c r="B30" s="50" t="s">
        <v>891</v>
      </c>
      <c r="C30" s="2">
        <v>46034</v>
      </c>
      <c r="D30" s="1" t="s">
        <v>826</v>
      </c>
      <c r="E30" s="1" t="s">
        <v>827</v>
      </c>
      <c r="F30" s="1" t="s">
        <v>849</v>
      </c>
    </row>
    <row r="31" spans="1:6" ht="12.75">
      <c r="A31" s="50" t="s">
        <v>892</v>
      </c>
      <c r="B31" s="50" t="s">
        <v>893</v>
      </c>
      <c r="C31" s="2">
        <v>46050</v>
      </c>
      <c r="D31" s="1" t="s">
        <v>826</v>
      </c>
      <c r="E31" s="1" t="s">
        <v>827</v>
      </c>
      <c r="F31" s="1" t="s">
        <v>849</v>
      </c>
    </row>
    <row r="32" spans="1:6" ht="12.75">
      <c r="A32" s="50" t="s">
        <v>894</v>
      </c>
      <c r="B32" s="50" t="s">
        <v>895</v>
      </c>
      <c r="C32" s="2">
        <v>46038</v>
      </c>
      <c r="D32" s="1" t="s">
        <v>821</v>
      </c>
      <c r="E32" s="1" t="s">
        <v>879</v>
      </c>
      <c r="F32" s="1" t="s">
        <v>849</v>
      </c>
    </row>
    <row r="33" spans="1:6" ht="12.75">
      <c r="A33" s="50" t="s">
        <v>896</v>
      </c>
      <c r="B33" s="50" t="s">
        <v>897</v>
      </c>
      <c r="C33" s="2">
        <v>46049</v>
      </c>
      <c r="D33" s="1" t="s">
        <v>821</v>
      </c>
      <c r="E33" s="1" t="s">
        <v>879</v>
      </c>
      <c r="F33" s="1" t="s">
        <v>849</v>
      </c>
    </row>
    <row r="34" spans="1:6" ht="12.75">
      <c r="A34" s="1" t="s">
        <v>898</v>
      </c>
      <c r="B34" s="1" t="s">
        <v>899</v>
      </c>
      <c r="C34" s="2">
        <v>46070</v>
      </c>
      <c r="D34" s="1" t="s">
        <v>826</v>
      </c>
      <c r="E34" s="1" t="s">
        <v>827</v>
      </c>
      <c r="F34" s="1" t="s">
        <v>849</v>
      </c>
    </row>
    <row r="35" spans="1:6" ht="12.75">
      <c r="A35" s="1" t="s">
        <v>900</v>
      </c>
      <c r="B35" s="1" t="s">
        <v>901</v>
      </c>
      <c r="C35" s="2">
        <v>46091</v>
      </c>
      <c r="D35" s="1" t="s">
        <v>826</v>
      </c>
      <c r="E35" s="1" t="s">
        <v>827</v>
      </c>
    </row>
    <row r="36" spans="1:6" ht="12.75">
      <c r="A36" s="1" t="s">
        <v>902</v>
      </c>
      <c r="B36" s="1" t="s">
        <v>903</v>
      </c>
      <c r="C36" s="2">
        <v>46091</v>
      </c>
      <c r="D36" s="1" t="s">
        <v>821</v>
      </c>
      <c r="E36" s="1" t="s">
        <v>879</v>
      </c>
    </row>
    <row r="37" spans="1:6" ht="12.75">
      <c r="A37" s="1" t="s">
        <v>904</v>
      </c>
      <c r="B37" s="1" t="s">
        <v>905</v>
      </c>
      <c r="C37" s="2">
        <v>46091</v>
      </c>
      <c r="D37" s="1" t="s">
        <v>906</v>
      </c>
      <c r="E37" s="1" t="s">
        <v>907</v>
      </c>
    </row>
  </sheetData>
  <autoFilter ref="A1:F18" xr:uid="{00000000-0009-0000-0000-000007000000}"/>
  <phoneticPr fontId="7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2"/>
  <sheetViews>
    <sheetView showGridLines="0" workbookViewId="0"/>
  </sheetViews>
  <sheetFormatPr defaultColWidth="14.42578125" defaultRowHeight="15.75" customHeight="1"/>
  <cols>
    <col min="1" max="1" width="10.28515625" customWidth="1"/>
    <col min="2" max="2" width="10.140625" customWidth="1"/>
    <col min="3" max="3" width="9.5703125" customWidth="1"/>
    <col min="4" max="4" width="11.140625" customWidth="1"/>
    <col min="5" max="6" width="12.5703125" customWidth="1"/>
    <col min="7" max="7" width="11.5703125" customWidth="1"/>
    <col min="8" max="8" width="8.7109375" customWidth="1"/>
    <col min="9" max="9" width="5.28515625" customWidth="1"/>
    <col min="10" max="10" width="59.5703125" customWidth="1"/>
    <col min="11" max="12" width="8.7109375" customWidth="1"/>
    <col min="13" max="13" width="74.5703125" customWidth="1"/>
    <col min="14" max="26" width="8.7109375" customWidth="1"/>
  </cols>
  <sheetData>
    <row r="1" spans="1:13" ht="16.5" customHeight="1">
      <c r="A1" s="49" t="s">
        <v>908</v>
      </c>
      <c r="B1" s="49" t="s">
        <v>909</v>
      </c>
      <c r="I1" s="141"/>
      <c r="J1" s="141"/>
    </row>
    <row r="2" spans="1:13" ht="16.5" customHeight="1">
      <c r="I2" s="141"/>
      <c r="J2" s="141"/>
    </row>
    <row r="3" spans="1:13" ht="16.5" customHeight="1">
      <c r="B3" s="142" t="s">
        <v>910</v>
      </c>
      <c r="I3" s="142" t="s">
        <v>911</v>
      </c>
    </row>
    <row r="4" spans="1:13" ht="16.5" customHeight="1">
      <c r="B4" s="143" t="s">
        <v>912</v>
      </c>
      <c r="C4" s="143" t="s">
        <v>913</v>
      </c>
      <c r="D4" s="143" t="s">
        <v>914</v>
      </c>
      <c r="E4" s="143" t="s">
        <v>915</v>
      </c>
      <c r="F4" s="143" t="s">
        <v>916</v>
      </c>
      <c r="G4" s="143" t="s">
        <v>917</v>
      </c>
      <c r="I4" s="143" t="s">
        <v>918</v>
      </c>
      <c r="J4" s="143" t="s">
        <v>919</v>
      </c>
    </row>
    <row r="5" spans="1:13" ht="16.5" customHeight="1">
      <c r="B5" s="144" t="s">
        <v>920</v>
      </c>
      <c r="C5" s="144" t="s">
        <v>921</v>
      </c>
      <c r="D5" s="144" t="s">
        <v>922</v>
      </c>
      <c r="E5" s="144" t="s">
        <v>922</v>
      </c>
      <c r="F5" s="144" t="s">
        <v>923</v>
      </c>
      <c r="G5" s="144" t="s">
        <v>924</v>
      </c>
      <c r="I5" s="144" t="s">
        <v>5</v>
      </c>
      <c r="J5" s="144" t="s">
        <v>925</v>
      </c>
    </row>
    <row r="6" spans="1:13" ht="16.5" customHeight="1">
      <c r="B6" s="144" t="s">
        <v>926</v>
      </c>
      <c r="C6" s="144" t="s">
        <v>927</v>
      </c>
      <c r="D6" s="144" t="s">
        <v>928</v>
      </c>
      <c r="E6" s="144" t="s">
        <v>929</v>
      </c>
      <c r="F6" s="144" t="s">
        <v>930</v>
      </c>
      <c r="G6" s="144" t="s">
        <v>931</v>
      </c>
      <c r="I6" s="144" t="s">
        <v>51</v>
      </c>
      <c r="J6" s="144" t="s">
        <v>932</v>
      </c>
    </row>
    <row r="7" spans="1:13" ht="16.5" customHeight="1">
      <c r="B7" s="144"/>
      <c r="C7" s="144" t="s">
        <v>933</v>
      </c>
      <c r="D7" s="144" t="s">
        <v>934</v>
      </c>
      <c r="E7" s="144" t="s">
        <v>935</v>
      </c>
      <c r="F7" s="144" t="s">
        <v>936</v>
      </c>
      <c r="G7" s="144" t="s">
        <v>937</v>
      </c>
      <c r="I7" s="144" t="s">
        <v>51</v>
      </c>
      <c r="J7" s="144" t="s">
        <v>938</v>
      </c>
    </row>
    <row r="8" spans="1:13" ht="16.5" customHeight="1">
      <c r="B8" s="144"/>
      <c r="C8" s="144"/>
      <c r="D8" s="144"/>
      <c r="E8" s="144" t="s">
        <v>939</v>
      </c>
      <c r="F8" s="144" t="s">
        <v>940</v>
      </c>
      <c r="G8" s="144" t="s">
        <v>941</v>
      </c>
    </row>
    <row r="9" spans="1:13" ht="16.5" customHeight="1">
      <c r="B9" s="144"/>
      <c r="C9" s="144"/>
      <c r="D9" s="144"/>
      <c r="E9" s="144"/>
      <c r="F9" s="144"/>
      <c r="G9" s="144" t="s">
        <v>942</v>
      </c>
      <c r="I9" s="143" t="s">
        <v>918</v>
      </c>
      <c r="J9" s="143" t="s">
        <v>943</v>
      </c>
      <c r="L9" s="145" t="s">
        <v>918</v>
      </c>
      <c r="M9" s="146" t="s">
        <v>944</v>
      </c>
    </row>
    <row r="10" spans="1:13" ht="16.5" customHeight="1">
      <c r="B10" s="144"/>
      <c r="C10" s="144"/>
      <c r="D10" s="144"/>
      <c r="E10" s="144"/>
      <c r="F10" s="144"/>
      <c r="G10" s="144" t="s">
        <v>945</v>
      </c>
      <c r="I10" s="144" t="s">
        <v>5</v>
      </c>
      <c r="J10" s="144" t="s">
        <v>946</v>
      </c>
      <c r="L10" s="16" t="s">
        <v>5</v>
      </c>
      <c r="M10" s="16" t="s">
        <v>947</v>
      </c>
    </row>
    <row r="11" spans="1:13" ht="16.5" customHeight="1">
      <c r="B11" s="147"/>
      <c r="C11" s="147"/>
      <c r="D11" s="147"/>
      <c r="E11" s="147"/>
      <c r="F11" s="147"/>
      <c r="G11" s="148" t="s">
        <v>948</v>
      </c>
      <c r="I11" s="144" t="s">
        <v>51</v>
      </c>
      <c r="J11" s="144" t="s">
        <v>949</v>
      </c>
      <c r="L11" s="16" t="s">
        <v>51</v>
      </c>
      <c r="M11" s="16" t="s">
        <v>950</v>
      </c>
    </row>
    <row r="12" spans="1:13" ht="16.5" customHeight="1">
      <c r="I12" s="144" t="s">
        <v>51</v>
      </c>
      <c r="J12" s="144" t="s">
        <v>951</v>
      </c>
      <c r="L12" s="16" t="s">
        <v>51</v>
      </c>
      <c r="M12" s="16" t="s">
        <v>952</v>
      </c>
    </row>
    <row r="13" spans="1:13" ht="16.5" customHeight="1">
      <c r="I13" s="144" t="s">
        <v>51</v>
      </c>
      <c r="J13" s="144" t="s">
        <v>953</v>
      </c>
    </row>
    <row r="14" spans="1:13" ht="16.5" customHeight="1">
      <c r="I14" s="144" t="s">
        <v>51</v>
      </c>
      <c r="J14" s="144" t="s">
        <v>954</v>
      </c>
      <c r="L14" s="149" t="s">
        <v>918</v>
      </c>
      <c r="M14" s="149" t="s">
        <v>955</v>
      </c>
    </row>
    <row r="15" spans="1:13" ht="16.5" customHeight="1">
      <c r="I15" s="144" t="s">
        <v>51</v>
      </c>
      <c r="J15" s="144" t="s">
        <v>956</v>
      </c>
      <c r="L15" s="148" t="s">
        <v>5</v>
      </c>
      <c r="M15" s="148" t="s">
        <v>957</v>
      </c>
    </row>
    <row r="16" spans="1:13" ht="16.5" customHeight="1">
      <c r="I16" s="144" t="s">
        <v>51</v>
      </c>
      <c r="J16" s="144" t="s">
        <v>958</v>
      </c>
      <c r="L16" s="148" t="s">
        <v>51</v>
      </c>
      <c r="M16" s="148" t="s">
        <v>959</v>
      </c>
    </row>
    <row r="17" spans="2:13" ht="16.5" customHeight="1">
      <c r="I17" s="144" t="s">
        <v>51</v>
      </c>
      <c r="J17" s="144" t="s">
        <v>960</v>
      </c>
      <c r="L17" s="148" t="s">
        <v>51</v>
      </c>
      <c r="M17" s="148" t="s">
        <v>961</v>
      </c>
    </row>
    <row r="18" spans="2:13" ht="16.5" customHeight="1">
      <c r="B18" s="142" t="s">
        <v>962</v>
      </c>
    </row>
    <row r="19" spans="2:13" ht="16.5" customHeight="1">
      <c r="B19" s="150" t="s">
        <v>963</v>
      </c>
      <c r="C19" s="150" t="s">
        <v>964</v>
      </c>
      <c r="I19" s="143" t="s">
        <v>918</v>
      </c>
      <c r="J19" s="151" t="s">
        <v>965</v>
      </c>
      <c r="L19" s="145" t="s">
        <v>918</v>
      </c>
      <c r="M19" s="146" t="s">
        <v>966</v>
      </c>
    </row>
    <row r="20" spans="2:13" ht="16.5" customHeight="1">
      <c r="B20" s="144" t="s">
        <v>967</v>
      </c>
      <c r="C20" s="144" t="s">
        <v>30</v>
      </c>
      <c r="I20" s="144" t="s">
        <v>5</v>
      </c>
      <c r="J20" s="144" t="s">
        <v>968</v>
      </c>
      <c r="L20" s="16" t="s">
        <v>5</v>
      </c>
      <c r="M20" s="16" t="s">
        <v>969</v>
      </c>
    </row>
    <row r="21" spans="2:13" ht="16.5" customHeight="1">
      <c r="B21" s="144" t="s">
        <v>970</v>
      </c>
      <c r="C21" s="144" t="s">
        <v>26</v>
      </c>
      <c r="I21" s="144" t="s">
        <v>51</v>
      </c>
      <c r="J21" s="144" t="s">
        <v>971</v>
      </c>
      <c r="L21" s="16" t="s">
        <v>51</v>
      </c>
      <c r="M21" s="16" t="s">
        <v>972</v>
      </c>
    </row>
    <row r="22" spans="2:13" ht="16.5" customHeight="1">
      <c r="B22" s="144" t="s">
        <v>973</v>
      </c>
      <c r="C22" s="144" t="s">
        <v>33</v>
      </c>
      <c r="I22" s="144" t="s">
        <v>51</v>
      </c>
      <c r="J22" s="144" t="s">
        <v>974</v>
      </c>
      <c r="L22" s="16" t="s">
        <v>51</v>
      </c>
      <c r="M22" s="16" t="s">
        <v>975</v>
      </c>
    </row>
    <row r="23" spans="2:13" ht="16.5" customHeight="1">
      <c r="B23" s="144" t="s">
        <v>976</v>
      </c>
      <c r="C23" s="144" t="s">
        <v>977</v>
      </c>
      <c r="I23" s="144" t="s">
        <v>51</v>
      </c>
      <c r="J23" s="144" t="s">
        <v>978</v>
      </c>
    </row>
    <row r="24" spans="2:13" ht="16.5" customHeight="1">
      <c r="B24" s="144" t="s">
        <v>979</v>
      </c>
      <c r="C24" s="144" t="s">
        <v>35</v>
      </c>
      <c r="I24" s="144" t="s">
        <v>51</v>
      </c>
      <c r="J24" s="144" t="s">
        <v>980</v>
      </c>
      <c r="L24" s="145" t="s">
        <v>918</v>
      </c>
      <c r="M24" s="146" t="s">
        <v>981</v>
      </c>
    </row>
    <row r="25" spans="2:13" ht="16.5" customHeight="1">
      <c r="B25" s="144" t="s">
        <v>982</v>
      </c>
      <c r="C25" s="144" t="s">
        <v>37</v>
      </c>
      <c r="I25" s="144" t="s">
        <v>51</v>
      </c>
      <c r="J25" s="144" t="s">
        <v>983</v>
      </c>
      <c r="L25" s="16" t="s">
        <v>5</v>
      </c>
      <c r="M25" s="148" t="s">
        <v>984</v>
      </c>
    </row>
    <row r="26" spans="2:13" ht="16.5" customHeight="1">
      <c r="I26" s="144" t="s">
        <v>51</v>
      </c>
      <c r="J26" s="144" t="s">
        <v>985</v>
      </c>
      <c r="L26" s="16" t="s">
        <v>51</v>
      </c>
      <c r="M26" s="16" t="s">
        <v>986</v>
      </c>
    </row>
    <row r="27" spans="2:13" ht="16.5" customHeight="1">
      <c r="I27" s="141"/>
      <c r="J27" s="141"/>
      <c r="L27" s="16" t="s">
        <v>51</v>
      </c>
      <c r="M27" s="16" t="s">
        <v>987</v>
      </c>
    </row>
    <row r="28" spans="2:13" ht="16.5" customHeight="1"/>
    <row r="29" spans="2:13" ht="16.5" customHeight="1">
      <c r="I29" s="143" t="s">
        <v>918</v>
      </c>
      <c r="J29" s="151" t="s">
        <v>988</v>
      </c>
      <c r="L29" s="145" t="s">
        <v>918</v>
      </c>
      <c r="M29" s="146" t="s">
        <v>989</v>
      </c>
    </row>
    <row r="30" spans="2:13" ht="16.5" customHeight="1">
      <c r="I30" s="148" t="s">
        <v>5</v>
      </c>
      <c r="J30" s="148" t="s">
        <v>990</v>
      </c>
      <c r="L30" s="16" t="s">
        <v>5</v>
      </c>
      <c r="M30" s="148" t="s">
        <v>991</v>
      </c>
    </row>
    <row r="31" spans="2:13" ht="16.5" customHeight="1">
      <c r="I31" s="148" t="s">
        <v>51</v>
      </c>
      <c r="J31" s="148" t="s">
        <v>992</v>
      </c>
      <c r="L31" s="16" t="s">
        <v>51</v>
      </c>
      <c r="M31" s="16" t="s">
        <v>993</v>
      </c>
    </row>
    <row r="32" spans="2:13" ht="16.5" customHeight="1">
      <c r="I32" s="147" t="s">
        <v>51</v>
      </c>
      <c r="J32" s="147" t="s">
        <v>994</v>
      </c>
      <c r="L32" s="16" t="s">
        <v>51</v>
      </c>
      <c r="M32" s="16" t="s">
        <v>995</v>
      </c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honeticPr fontId="7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1"/>
  <sheetViews>
    <sheetView tabSelected="1" workbookViewId="0"/>
  </sheetViews>
  <sheetFormatPr defaultColWidth="14.42578125" defaultRowHeight="15.75" customHeight="1"/>
  <cols>
    <col min="1" max="1" width="5.28515625" customWidth="1"/>
    <col min="2" max="2" width="14.7109375" customWidth="1"/>
    <col min="3" max="3" width="3.28515625" customWidth="1"/>
    <col min="4" max="4" width="14" customWidth="1"/>
    <col min="5" max="5" width="3.28515625" customWidth="1"/>
    <col min="6" max="6" width="24.42578125" customWidth="1"/>
    <col min="7" max="7" width="3.28515625" customWidth="1"/>
    <col min="8" max="8" width="17.28515625" customWidth="1"/>
    <col min="9" max="9" width="47.7109375" customWidth="1"/>
    <col min="10" max="10" width="3.28515625" customWidth="1"/>
    <col min="11" max="11" width="17.28515625" customWidth="1"/>
    <col min="12" max="12" width="67.28515625" customWidth="1"/>
    <col min="13" max="13" width="3.28515625" customWidth="1"/>
    <col min="14" max="14" width="20.85546875" customWidth="1"/>
    <col min="15" max="15" width="84.42578125" customWidth="1"/>
    <col min="16" max="16" width="3.28515625" customWidth="1"/>
    <col min="17" max="17" width="20.140625" customWidth="1"/>
    <col min="18" max="18" width="65.28515625" customWidth="1"/>
    <col min="19" max="26" width="8.7109375" customWidth="1"/>
  </cols>
  <sheetData>
    <row r="1" spans="1:26" ht="16.5" customHeight="1">
      <c r="A1" s="5"/>
      <c r="B1" s="152" t="s">
        <v>996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5"/>
      <c r="B2" s="6" t="s">
        <v>997</v>
      </c>
      <c r="C2" s="5" t="s">
        <v>998</v>
      </c>
      <c r="D2" s="6" t="s">
        <v>999</v>
      </c>
      <c r="E2" s="5" t="s">
        <v>998</v>
      </c>
      <c r="F2" s="6" t="s">
        <v>1000</v>
      </c>
      <c r="G2" s="5" t="s">
        <v>998</v>
      </c>
      <c r="H2" s="159" t="s">
        <v>1001</v>
      </c>
      <c r="I2" s="160"/>
      <c r="J2" s="5" t="s">
        <v>998</v>
      </c>
      <c r="K2" s="159" t="s">
        <v>1002</v>
      </c>
      <c r="L2" s="160"/>
      <c r="M2" s="5" t="s">
        <v>998</v>
      </c>
      <c r="N2" s="159" t="s">
        <v>1003</v>
      </c>
      <c r="O2" s="160"/>
      <c r="P2" s="5" t="s">
        <v>998</v>
      </c>
      <c r="Q2" s="159" t="s">
        <v>1004</v>
      </c>
      <c r="R2" s="160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5"/>
      <c r="B3" s="5"/>
      <c r="C3" s="5"/>
      <c r="D3" s="5"/>
      <c r="E3" s="5"/>
      <c r="F3" s="5"/>
      <c r="G3" s="5"/>
      <c r="H3" s="161" t="s">
        <v>1005</v>
      </c>
      <c r="I3" s="160"/>
      <c r="J3" s="5"/>
      <c r="K3" s="161" t="s">
        <v>1006</v>
      </c>
      <c r="L3" s="160"/>
      <c r="M3" s="5"/>
      <c r="N3" s="161" t="s">
        <v>1007</v>
      </c>
      <c r="O3" s="160"/>
      <c r="P3" s="5"/>
      <c r="Q3" s="161" t="s">
        <v>1008</v>
      </c>
      <c r="R3" s="160"/>
      <c r="S3" s="5"/>
      <c r="T3" s="5"/>
      <c r="U3" s="5"/>
      <c r="V3" s="5"/>
      <c r="W3" s="5"/>
      <c r="X3" s="5"/>
      <c r="Y3" s="5"/>
      <c r="Z3" s="5"/>
    </row>
    <row r="4" spans="1:26" ht="16.5" customHeight="1">
      <c r="A4" s="5"/>
      <c r="B4" s="5"/>
      <c r="C4" s="5"/>
      <c r="D4" s="5"/>
      <c r="E4" s="5"/>
      <c r="F4" s="5"/>
      <c r="G4" s="5"/>
      <c r="H4" s="6" t="s">
        <v>1009</v>
      </c>
      <c r="I4" s="6" t="s">
        <v>1005</v>
      </c>
      <c r="J4" s="5"/>
      <c r="K4" s="6" t="s">
        <v>1009</v>
      </c>
      <c r="L4" s="6" t="s">
        <v>1010</v>
      </c>
      <c r="M4" s="5"/>
      <c r="N4" s="6">
        <v>1</v>
      </c>
      <c r="O4" s="6" t="s">
        <v>1011</v>
      </c>
      <c r="P4" s="5"/>
      <c r="Q4" s="6">
        <v>1</v>
      </c>
      <c r="R4" s="6" t="s">
        <v>1012</v>
      </c>
      <c r="S4" s="5"/>
      <c r="T4" s="5"/>
      <c r="U4" s="5"/>
      <c r="V4" s="5"/>
      <c r="W4" s="5"/>
      <c r="X4" s="5"/>
      <c r="Y4" s="5"/>
      <c r="Z4" s="5"/>
    </row>
    <row r="5" spans="1:26" ht="16.5" customHeight="1">
      <c r="A5" s="5"/>
      <c r="B5" s="5"/>
      <c r="C5" s="5"/>
      <c r="D5" s="5"/>
      <c r="E5" s="5"/>
      <c r="F5" s="5"/>
      <c r="G5" s="5"/>
      <c r="H5" s="6" t="s">
        <v>1013</v>
      </c>
      <c r="I5" s="6" t="s">
        <v>1014</v>
      </c>
      <c r="J5" s="5"/>
      <c r="K5" s="6" t="s">
        <v>1013</v>
      </c>
      <c r="L5" s="6" t="s">
        <v>7</v>
      </c>
      <c r="M5" s="5"/>
      <c r="N5" s="5"/>
      <c r="O5" s="5"/>
      <c r="P5" s="5"/>
      <c r="Q5" s="6">
        <v>2</v>
      </c>
      <c r="R5" s="6" t="s">
        <v>1015</v>
      </c>
      <c r="S5" s="5"/>
      <c r="T5" s="5"/>
      <c r="U5" s="5"/>
      <c r="V5" s="5"/>
      <c r="W5" s="5"/>
      <c r="X5" s="5"/>
      <c r="Y5" s="5"/>
      <c r="Z5" s="5"/>
    </row>
    <row r="6" spans="1:26" ht="16.5" customHeight="1">
      <c r="A6" s="5"/>
      <c r="B6" s="153" t="s">
        <v>1016</v>
      </c>
      <c r="C6" s="5"/>
      <c r="D6" s="5"/>
      <c r="E6" s="5"/>
      <c r="F6" s="5"/>
      <c r="G6" s="5"/>
      <c r="H6" s="6" t="s">
        <v>1017</v>
      </c>
      <c r="I6" s="6" t="s">
        <v>1018</v>
      </c>
      <c r="J6" s="5"/>
      <c r="K6" s="6" t="s">
        <v>1017</v>
      </c>
      <c r="L6" s="6" t="s">
        <v>1019</v>
      </c>
      <c r="M6" s="5"/>
      <c r="N6" s="163"/>
      <c r="O6" s="160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5" customHeight="1">
      <c r="A7" s="5"/>
      <c r="B7" s="154" t="s">
        <v>1020</v>
      </c>
      <c r="C7" s="5"/>
      <c r="D7" s="5"/>
      <c r="E7" s="5"/>
      <c r="F7" s="5"/>
      <c r="G7" s="5"/>
      <c r="H7" s="6" t="s">
        <v>1021</v>
      </c>
      <c r="I7" s="6" t="s">
        <v>1022</v>
      </c>
      <c r="J7" s="5"/>
      <c r="K7" s="6" t="s">
        <v>1021</v>
      </c>
      <c r="L7" s="6" t="s">
        <v>1023</v>
      </c>
      <c r="M7" s="5"/>
      <c r="N7" s="5"/>
      <c r="O7" s="5"/>
      <c r="P7" s="5"/>
      <c r="Q7" s="162" t="s">
        <v>1024</v>
      </c>
      <c r="R7" s="160"/>
      <c r="S7" s="5"/>
      <c r="T7" s="5"/>
      <c r="U7" s="5"/>
      <c r="V7" s="5"/>
      <c r="W7" s="5"/>
      <c r="X7" s="5"/>
      <c r="Y7" s="5"/>
      <c r="Z7" s="5"/>
    </row>
    <row r="8" spans="1:26" ht="16.5" customHeight="1">
      <c r="A8" s="5"/>
      <c r="B8" s="154" t="s">
        <v>1025</v>
      </c>
      <c r="C8" s="5"/>
      <c r="D8" s="5"/>
      <c r="E8" s="5"/>
      <c r="F8" s="5"/>
      <c r="G8" s="5"/>
      <c r="H8" s="6" t="s">
        <v>511</v>
      </c>
      <c r="I8" s="6" t="s">
        <v>8</v>
      </c>
      <c r="J8" s="5"/>
      <c r="K8" s="6" t="s">
        <v>511</v>
      </c>
      <c r="L8" s="6" t="s">
        <v>8</v>
      </c>
      <c r="M8" s="5"/>
      <c r="N8" s="162" t="s">
        <v>1026</v>
      </c>
      <c r="O8" s="160"/>
      <c r="P8" s="5"/>
      <c r="Q8" s="6" t="s">
        <v>1009</v>
      </c>
      <c r="R8" s="6" t="s">
        <v>1027</v>
      </c>
      <c r="S8" s="5"/>
      <c r="T8" s="5"/>
      <c r="U8" s="5"/>
      <c r="V8" s="5"/>
      <c r="W8" s="5"/>
      <c r="X8" s="5"/>
      <c r="Y8" s="5"/>
      <c r="Z8" s="5"/>
    </row>
    <row r="9" spans="1:26" ht="16.5" customHeight="1">
      <c r="A9" s="5"/>
      <c r="B9" s="5"/>
      <c r="C9" s="5"/>
      <c r="D9" s="5"/>
      <c r="E9" s="5"/>
      <c r="F9" s="5"/>
      <c r="G9" s="5"/>
      <c r="H9" s="6" t="s">
        <v>1028</v>
      </c>
      <c r="I9" s="6" t="s">
        <v>1029</v>
      </c>
      <c r="J9" s="5"/>
      <c r="K9" s="6" t="s">
        <v>1028</v>
      </c>
      <c r="L9" s="6" t="s">
        <v>1030</v>
      </c>
      <c r="M9" s="5"/>
      <c r="N9" s="6" t="s">
        <v>1009</v>
      </c>
      <c r="O9" s="6" t="s">
        <v>1031</v>
      </c>
      <c r="P9" s="5"/>
      <c r="Q9" s="6" t="s">
        <v>1013</v>
      </c>
      <c r="R9" s="6" t="s">
        <v>7</v>
      </c>
      <c r="S9" s="5"/>
      <c r="T9" s="5"/>
      <c r="U9" s="5"/>
      <c r="V9" s="5"/>
      <c r="W9" s="5"/>
      <c r="X9" s="5"/>
      <c r="Y9" s="5"/>
      <c r="Z9" s="5"/>
    </row>
    <row r="10" spans="1:26" ht="16.5" customHeight="1">
      <c r="A10" s="5"/>
      <c r="B10" s="5"/>
      <c r="C10" s="5"/>
      <c r="D10" s="5"/>
      <c r="E10" s="5"/>
      <c r="F10" s="5"/>
      <c r="G10" s="5"/>
      <c r="H10" s="6" t="s">
        <v>1032</v>
      </c>
      <c r="I10" s="6" t="s">
        <v>1033</v>
      </c>
      <c r="J10" s="5"/>
      <c r="K10" s="6" t="s">
        <v>1032</v>
      </c>
      <c r="L10" s="6" t="s">
        <v>1034</v>
      </c>
      <c r="M10" s="5"/>
      <c r="N10" s="6" t="s">
        <v>1013</v>
      </c>
      <c r="O10" s="6" t="s">
        <v>1035</v>
      </c>
      <c r="P10" s="5"/>
      <c r="Q10" s="6" t="s">
        <v>1017</v>
      </c>
      <c r="R10" s="6" t="s">
        <v>1036</v>
      </c>
      <c r="S10" s="5"/>
      <c r="U10" s="5"/>
      <c r="W10" s="5"/>
      <c r="X10" s="5"/>
      <c r="Y10" s="5"/>
      <c r="Z10" s="5"/>
    </row>
    <row r="11" spans="1:26" ht="16.5" customHeight="1">
      <c r="A11" s="5"/>
      <c r="B11" s="5"/>
      <c r="C11" s="5"/>
      <c r="D11" s="5"/>
      <c r="E11" s="5"/>
      <c r="F11" s="5"/>
      <c r="G11" s="5"/>
      <c r="H11" s="6" t="s">
        <v>1037</v>
      </c>
      <c r="I11" s="6" t="s">
        <v>13</v>
      </c>
      <c r="J11" s="5"/>
      <c r="K11" s="6" t="s">
        <v>1037</v>
      </c>
      <c r="L11" s="6" t="s">
        <v>13</v>
      </c>
      <c r="M11" s="5"/>
      <c r="N11" s="6" t="s">
        <v>1017</v>
      </c>
      <c r="O11" s="6" t="s">
        <v>1038</v>
      </c>
      <c r="P11" s="5"/>
      <c r="Q11" s="6" t="s">
        <v>1021</v>
      </c>
      <c r="R11" s="6" t="s">
        <v>1039</v>
      </c>
      <c r="S11" s="5"/>
      <c r="T11" s="5"/>
      <c r="U11" s="5"/>
      <c r="V11" s="5"/>
      <c r="W11" s="5"/>
      <c r="X11" s="5"/>
      <c r="Y11" s="5"/>
      <c r="Z11" s="5"/>
    </row>
    <row r="12" spans="1:26" ht="16.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 t="s">
        <v>1021</v>
      </c>
      <c r="O12" s="6" t="s">
        <v>1040</v>
      </c>
      <c r="P12" s="5"/>
      <c r="Q12" s="6" t="s">
        <v>511</v>
      </c>
      <c r="R12" s="6" t="s">
        <v>12</v>
      </c>
      <c r="S12" s="5"/>
      <c r="T12" s="5"/>
      <c r="U12" s="5"/>
      <c r="V12" s="5"/>
      <c r="W12" s="5"/>
      <c r="X12" s="5"/>
      <c r="Y12" s="5"/>
      <c r="Z12" s="5"/>
    </row>
    <row r="13" spans="1:26" ht="16.5" customHeight="1">
      <c r="A13" s="5"/>
      <c r="B13" s="5"/>
      <c r="C13" s="5"/>
      <c r="D13" s="5"/>
      <c r="E13" s="5"/>
      <c r="F13" s="5"/>
      <c r="G13" s="5"/>
      <c r="H13" s="162" t="s">
        <v>1041</v>
      </c>
      <c r="I13" s="160"/>
      <c r="J13" s="5"/>
      <c r="K13" s="162" t="s">
        <v>1042</v>
      </c>
      <c r="L13" s="160"/>
      <c r="M13" s="5"/>
      <c r="N13" s="6" t="s">
        <v>511</v>
      </c>
      <c r="O13" s="6" t="s">
        <v>8</v>
      </c>
      <c r="P13" s="5"/>
      <c r="Q13" s="6" t="s">
        <v>1028</v>
      </c>
      <c r="R13" s="6" t="s">
        <v>1030</v>
      </c>
      <c r="S13" s="5"/>
      <c r="T13" s="5"/>
      <c r="U13" s="5"/>
      <c r="V13" s="5"/>
      <c r="W13" s="5"/>
      <c r="X13" s="5"/>
      <c r="Y13" s="5"/>
      <c r="Z13" s="5"/>
    </row>
    <row r="14" spans="1:26" ht="16.5" customHeight="1">
      <c r="A14" s="5"/>
      <c r="B14" s="5"/>
      <c r="C14" s="5"/>
      <c r="D14" s="5"/>
      <c r="E14" s="5"/>
      <c r="F14" s="5"/>
      <c r="G14" s="5"/>
      <c r="H14" s="6" t="s">
        <v>1009</v>
      </c>
      <c r="I14" s="6" t="s">
        <v>1043</v>
      </c>
      <c r="J14" s="5"/>
      <c r="K14" s="6" t="s">
        <v>1009</v>
      </c>
      <c r="L14" s="6" t="s">
        <v>1044</v>
      </c>
      <c r="M14" s="5"/>
      <c r="N14" s="6" t="s">
        <v>1028</v>
      </c>
      <c r="O14" s="6" t="s">
        <v>1030</v>
      </c>
      <c r="P14" s="5"/>
      <c r="Q14" s="6" t="s">
        <v>1032</v>
      </c>
      <c r="R14" s="6" t="s">
        <v>1045</v>
      </c>
      <c r="S14" s="5"/>
      <c r="T14" s="5"/>
      <c r="U14" s="5"/>
      <c r="V14" s="5"/>
      <c r="W14" s="5"/>
      <c r="X14" s="5"/>
      <c r="Y14" s="5"/>
      <c r="Z14" s="5"/>
    </row>
    <row r="15" spans="1:26" ht="16.5" customHeight="1">
      <c r="A15" s="5"/>
      <c r="B15" s="5"/>
      <c r="C15" s="5"/>
      <c r="D15" s="5"/>
      <c r="E15" s="5"/>
      <c r="F15" s="5"/>
      <c r="G15" s="5"/>
      <c r="H15" s="6" t="s">
        <v>1013</v>
      </c>
      <c r="I15" s="6" t="s">
        <v>7</v>
      </c>
      <c r="J15" s="5"/>
      <c r="K15" s="6" t="s">
        <v>1013</v>
      </c>
      <c r="L15" s="6" t="s">
        <v>1046</v>
      </c>
      <c r="M15" s="5"/>
      <c r="N15" s="6" t="s">
        <v>1032</v>
      </c>
      <c r="O15" s="6" t="s">
        <v>1047</v>
      </c>
      <c r="P15" s="5"/>
      <c r="Q15" s="6" t="s">
        <v>1037</v>
      </c>
      <c r="R15" s="6" t="s">
        <v>13</v>
      </c>
      <c r="S15" s="5"/>
      <c r="T15" s="5"/>
      <c r="U15" s="5"/>
      <c r="V15" s="5"/>
      <c r="W15" s="5"/>
      <c r="X15" s="5"/>
      <c r="Y15" s="5"/>
      <c r="Z15" s="5"/>
    </row>
    <row r="16" spans="1:26" ht="16.5" customHeight="1">
      <c r="A16" s="5"/>
      <c r="B16" s="5"/>
      <c r="C16" s="5"/>
      <c r="D16" s="5"/>
      <c r="E16" s="5"/>
      <c r="F16" s="5"/>
      <c r="G16" s="5"/>
      <c r="H16" s="6" t="s">
        <v>1017</v>
      </c>
      <c r="I16" s="6" t="s">
        <v>1048</v>
      </c>
      <c r="J16" s="5"/>
      <c r="K16" s="6" t="s">
        <v>1017</v>
      </c>
      <c r="L16" s="6" t="s">
        <v>1049</v>
      </c>
      <c r="M16" s="5"/>
      <c r="N16" s="6" t="s">
        <v>1037</v>
      </c>
      <c r="O16" s="6" t="s">
        <v>13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6.5" customHeight="1">
      <c r="A17" s="5"/>
      <c r="B17" s="5"/>
      <c r="C17" s="5"/>
      <c r="D17" s="5"/>
      <c r="E17" s="5"/>
      <c r="F17" s="5"/>
      <c r="G17" s="5"/>
      <c r="H17" s="6" t="s">
        <v>1021</v>
      </c>
      <c r="I17" s="6" t="s">
        <v>1050</v>
      </c>
      <c r="J17" s="5"/>
      <c r="K17" s="6" t="s">
        <v>1021</v>
      </c>
      <c r="L17" s="6" t="s">
        <v>1051</v>
      </c>
      <c r="M17" s="5"/>
      <c r="N17" s="5"/>
      <c r="O17" s="5"/>
      <c r="P17" s="5"/>
      <c r="Q17" s="162" t="s">
        <v>1052</v>
      </c>
      <c r="R17" s="160"/>
      <c r="S17" s="5"/>
      <c r="T17" s="5"/>
      <c r="U17" s="5"/>
      <c r="V17" s="5"/>
      <c r="W17" s="5"/>
      <c r="X17" s="5"/>
      <c r="Y17" s="5"/>
      <c r="Z17" s="5"/>
    </row>
    <row r="18" spans="1:26" ht="16.5" customHeight="1">
      <c r="A18" s="5"/>
      <c r="B18" s="5"/>
      <c r="C18" s="5"/>
      <c r="D18" s="5"/>
      <c r="E18" s="5"/>
      <c r="F18" s="5"/>
      <c r="G18" s="5"/>
      <c r="H18" s="6" t="s">
        <v>511</v>
      </c>
      <c r="I18" s="6" t="s">
        <v>1053</v>
      </c>
      <c r="J18" s="5"/>
      <c r="K18" s="6" t="s">
        <v>511</v>
      </c>
      <c r="L18" s="6" t="s">
        <v>8</v>
      </c>
      <c r="M18" s="5"/>
      <c r="N18" s="162" t="s">
        <v>1054</v>
      </c>
      <c r="O18" s="160"/>
      <c r="P18" s="5"/>
      <c r="Q18" s="6" t="s">
        <v>1009</v>
      </c>
      <c r="R18" s="6" t="s">
        <v>1055</v>
      </c>
      <c r="S18" s="5"/>
      <c r="T18" s="5"/>
      <c r="U18" s="5"/>
      <c r="V18" s="5"/>
      <c r="W18" s="5"/>
      <c r="X18" s="5"/>
      <c r="Y18" s="5"/>
      <c r="Z18" s="5"/>
    </row>
    <row r="19" spans="1:26" ht="16.5" customHeight="1">
      <c r="A19" s="5"/>
      <c r="B19" s="5"/>
      <c r="C19" s="5"/>
      <c r="D19" s="5"/>
      <c r="E19" s="5"/>
      <c r="F19" s="5"/>
      <c r="G19" s="5"/>
      <c r="H19" s="6" t="s">
        <v>1028</v>
      </c>
      <c r="I19" s="6" t="s">
        <v>1030</v>
      </c>
      <c r="J19" s="5"/>
      <c r="K19" s="6" t="s">
        <v>1028</v>
      </c>
      <c r="L19" s="6" t="s">
        <v>1030</v>
      </c>
      <c r="M19" s="5"/>
      <c r="N19" s="6" t="s">
        <v>1009</v>
      </c>
      <c r="O19" s="6" t="s">
        <v>1056</v>
      </c>
      <c r="P19" s="5"/>
      <c r="Q19" s="6" t="s">
        <v>1013</v>
      </c>
      <c r="R19" s="6" t="s">
        <v>1057</v>
      </c>
      <c r="S19" s="5"/>
      <c r="T19" s="5"/>
      <c r="U19" s="5"/>
      <c r="V19" s="5"/>
      <c r="W19" s="5"/>
      <c r="X19" s="5"/>
      <c r="Y19" s="5"/>
      <c r="Z19" s="5"/>
    </row>
    <row r="20" spans="1:26" ht="16.5" customHeight="1">
      <c r="A20" s="5"/>
      <c r="B20" s="5"/>
      <c r="C20" s="5"/>
      <c r="D20" s="5"/>
      <c r="E20" s="5"/>
      <c r="F20" s="5"/>
      <c r="G20" s="5"/>
      <c r="H20" s="6" t="s">
        <v>1032</v>
      </c>
      <c r="I20" s="6" t="s">
        <v>1058</v>
      </c>
      <c r="J20" s="5"/>
      <c r="K20" s="6" t="s">
        <v>1032</v>
      </c>
      <c r="L20" s="6" t="s">
        <v>1059</v>
      </c>
      <c r="M20" s="5"/>
      <c r="N20" s="6" t="s">
        <v>1013</v>
      </c>
      <c r="O20" s="6" t="s">
        <v>7</v>
      </c>
      <c r="P20" s="5"/>
      <c r="Q20" s="6" t="s">
        <v>1017</v>
      </c>
      <c r="R20" s="6" t="s">
        <v>1060</v>
      </c>
      <c r="S20" s="5"/>
      <c r="T20" s="5"/>
      <c r="U20" s="5"/>
      <c r="V20" s="5"/>
      <c r="W20" s="5"/>
      <c r="X20" s="5"/>
      <c r="Y20" s="5"/>
      <c r="Z20" s="5"/>
    </row>
    <row r="21" spans="1:26" ht="16.5" customHeight="1">
      <c r="A21" s="5"/>
      <c r="B21" s="5"/>
      <c r="C21" s="5"/>
      <c r="D21" s="5"/>
      <c r="E21" s="5"/>
      <c r="F21" s="5"/>
      <c r="G21" s="5"/>
      <c r="H21" s="6" t="s">
        <v>1037</v>
      </c>
      <c r="I21" s="6" t="s">
        <v>13</v>
      </c>
      <c r="J21" s="5"/>
      <c r="K21" s="6" t="s">
        <v>1037</v>
      </c>
      <c r="L21" s="6" t="s">
        <v>13</v>
      </c>
      <c r="M21" s="5"/>
      <c r="N21" s="6" t="s">
        <v>1017</v>
      </c>
      <c r="O21" s="6" t="s">
        <v>1018</v>
      </c>
      <c r="P21" s="5"/>
      <c r="Q21" s="6" t="s">
        <v>1021</v>
      </c>
      <c r="R21" s="6" t="s">
        <v>1061</v>
      </c>
      <c r="S21" s="5"/>
      <c r="T21" s="5"/>
      <c r="U21" s="5"/>
      <c r="V21" s="5"/>
      <c r="W21" s="5"/>
      <c r="X21" s="5"/>
      <c r="Y21" s="5"/>
      <c r="Z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 t="s">
        <v>1021</v>
      </c>
      <c r="O22" s="6" t="s">
        <v>1062</v>
      </c>
      <c r="P22" s="5"/>
      <c r="Q22" s="6" t="s">
        <v>511</v>
      </c>
      <c r="R22" s="6" t="s">
        <v>8</v>
      </c>
      <c r="S22" s="5"/>
      <c r="T22" s="5"/>
      <c r="U22" s="5"/>
      <c r="V22" s="5"/>
      <c r="W22" s="5"/>
      <c r="X22" s="5"/>
      <c r="Y22" s="5"/>
      <c r="Z22" s="5"/>
    </row>
    <row r="23" spans="1:26" ht="16.5" customHeight="1">
      <c r="A23" s="5"/>
      <c r="B23" s="5"/>
      <c r="C23" s="5"/>
      <c r="D23" s="5"/>
      <c r="E23" s="5"/>
      <c r="F23" s="5"/>
      <c r="G23" s="5"/>
      <c r="J23" s="5"/>
      <c r="K23" s="162" t="s">
        <v>1042</v>
      </c>
      <c r="L23" s="160"/>
      <c r="M23" s="5"/>
      <c r="N23" s="6" t="s">
        <v>511</v>
      </c>
      <c r="O23" s="6" t="s">
        <v>1053</v>
      </c>
      <c r="P23" s="5"/>
      <c r="Q23" s="6" t="s">
        <v>1028</v>
      </c>
      <c r="R23" s="6" t="s">
        <v>1030</v>
      </c>
      <c r="S23" s="5"/>
      <c r="T23" s="5"/>
      <c r="U23" s="5"/>
      <c r="V23" s="5"/>
      <c r="W23" s="5"/>
      <c r="X23" s="5"/>
      <c r="Y23" s="5"/>
      <c r="Z23" s="5"/>
    </row>
    <row r="24" spans="1:26" ht="16.5" customHeight="1">
      <c r="A24" s="5"/>
      <c r="B24" s="5"/>
      <c r="C24" s="5"/>
      <c r="D24" s="5"/>
      <c r="E24" s="5"/>
      <c r="F24" s="5"/>
      <c r="G24" s="5"/>
      <c r="J24" s="5"/>
      <c r="K24" s="6" t="s">
        <v>1009</v>
      </c>
      <c r="L24" s="6" t="s">
        <v>1063</v>
      </c>
      <c r="M24" s="5"/>
      <c r="N24" s="6" t="s">
        <v>1028</v>
      </c>
      <c r="O24" s="6" t="s">
        <v>1030</v>
      </c>
      <c r="P24" s="5"/>
      <c r="Q24" s="6" t="s">
        <v>1032</v>
      </c>
      <c r="R24" s="6" t="s">
        <v>1064</v>
      </c>
      <c r="S24" s="5"/>
      <c r="T24" s="5"/>
      <c r="U24" s="5"/>
      <c r="V24" s="5"/>
      <c r="W24" s="5"/>
      <c r="X24" s="5"/>
      <c r="Y24" s="5"/>
      <c r="Z24" s="5"/>
    </row>
    <row r="25" spans="1:26" ht="16.5" customHeight="1">
      <c r="A25" s="5"/>
      <c r="B25" s="5"/>
      <c r="C25" s="5"/>
      <c r="D25" s="5"/>
      <c r="E25" s="5"/>
      <c r="F25" s="5"/>
      <c r="G25" s="5"/>
      <c r="J25" s="5"/>
      <c r="K25" s="6" t="s">
        <v>1013</v>
      </c>
      <c r="L25" s="6" t="s">
        <v>1065</v>
      </c>
      <c r="M25" s="5"/>
      <c r="N25" s="6" t="s">
        <v>1032</v>
      </c>
      <c r="O25" s="6" t="s">
        <v>1066</v>
      </c>
      <c r="P25" s="5"/>
      <c r="Q25" s="6" t="s">
        <v>1037</v>
      </c>
      <c r="R25" s="6" t="s">
        <v>13</v>
      </c>
      <c r="S25" s="5"/>
      <c r="T25" s="5"/>
      <c r="U25" s="5"/>
      <c r="V25" s="5"/>
      <c r="W25" s="5"/>
      <c r="X25" s="5"/>
      <c r="Y25" s="5"/>
      <c r="Z25" s="5"/>
    </row>
    <row r="26" spans="1:26" ht="16.5" customHeight="1">
      <c r="A26" s="5"/>
      <c r="B26" s="5"/>
      <c r="C26" s="5"/>
      <c r="D26" s="5"/>
      <c r="E26" s="5"/>
      <c r="F26" s="5"/>
      <c r="G26" s="5"/>
      <c r="I26" s="50"/>
      <c r="J26" s="5"/>
      <c r="K26" s="6" t="s">
        <v>1017</v>
      </c>
      <c r="L26" s="6" t="s">
        <v>1067</v>
      </c>
      <c r="M26" s="5"/>
      <c r="N26" s="6" t="s">
        <v>1037</v>
      </c>
      <c r="O26" s="6" t="s">
        <v>10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>
      <c r="A27" s="5"/>
      <c r="B27" s="5"/>
      <c r="C27" s="5"/>
      <c r="D27" s="5"/>
      <c r="E27" s="5"/>
      <c r="F27" s="5"/>
      <c r="G27" s="5"/>
      <c r="H27" s="50"/>
      <c r="I27" s="50"/>
      <c r="J27" s="5"/>
      <c r="K27" s="6" t="s">
        <v>1021</v>
      </c>
      <c r="L27" s="6" t="s">
        <v>1068</v>
      </c>
      <c r="M27" s="5"/>
      <c r="P27" s="5"/>
      <c r="Q27" s="162" t="s">
        <v>1069</v>
      </c>
      <c r="R27" s="160"/>
      <c r="S27" s="5"/>
      <c r="T27" s="5"/>
      <c r="U27" s="5"/>
      <c r="V27" s="5"/>
      <c r="W27" s="5"/>
      <c r="X27" s="5"/>
      <c r="Y27" s="5"/>
      <c r="Z27" s="5"/>
    </row>
    <row r="28" spans="1:26" ht="16.5" customHeight="1">
      <c r="A28" s="5"/>
      <c r="B28" s="5"/>
      <c r="C28" s="5"/>
      <c r="D28" s="5"/>
      <c r="E28" s="5"/>
      <c r="F28" s="5"/>
      <c r="G28" s="5"/>
      <c r="H28" s="50"/>
      <c r="I28" s="50"/>
      <c r="J28" s="5"/>
      <c r="K28" s="6" t="s">
        <v>511</v>
      </c>
      <c r="L28" s="6" t="s">
        <v>8</v>
      </c>
      <c r="M28" s="5"/>
      <c r="P28" s="5"/>
      <c r="Q28" s="6" t="s">
        <v>1009</v>
      </c>
      <c r="R28" s="6" t="s">
        <v>1070</v>
      </c>
      <c r="S28" s="5"/>
      <c r="T28" s="5"/>
      <c r="U28" s="5"/>
      <c r="V28" s="5"/>
      <c r="W28" s="5"/>
      <c r="X28" s="5"/>
      <c r="Y28" s="5"/>
      <c r="Z28" s="5"/>
    </row>
    <row r="29" spans="1:26" ht="16.5" customHeight="1">
      <c r="A29" s="5"/>
      <c r="B29" s="5"/>
      <c r="C29" s="5"/>
      <c r="D29" s="3"/>
      <c r="E29" s="3"/>
      <c r="F29" s="3"/>
      <c r="G29" s="3"/>
      <c r="I29" s="155"/>
      <c r="J29" s="5"/>
      <c r="K29" s="6" t="s">
        <v>1028</v>
      </c>
      <c r="L29" s="6" t="s">
        <v>1030</v>
      </c>
      <c r="M29" s="5"/>
      <c r="N29" s="5"/>
      <c r="O29" s="5"/>
      <c r="P29" s="5"/>
      <c r="Q29" s="6" t="s">
        <v>1013</v>
      </c>
      <c r="R29" s="6" t="s">
        <v>1071</v>
      </c>
      <c r="S29" s="5"/>
      <c r="T29" s="5"/>
      <c r="U29" s="5"/>
      <c r="V29" s="5"/>
      <c r="W29" s="5"/>
      <c r="X29" s="5"/>
      <c r="Y29" s="5"/>
      <c r="Z29" s="5"/>
    </row>
    <row r="30" spans="1:26" ht="16.5" customHeight="1">
      <c r="A30" s="5"/>
      <c r="B30" s="5"/>
      <c r="C30" s="5"/>
      <c r="D30" s="156"/>
      <c r="E30" s="156"/>
      <c r="F30" s="156"/>
      <c r="G30" s="156"/>
      <c r="H30" s="50"/>
      <c r="I30" s="157"/>
      <c r="J30" s="5"/>
      <c r="K30" s="6" t="s">
        <v>1032</v>
      </c>
      <c r="L30" s="6" t="s">
        <v>1072</v>
      </c>
      <c r="M30" s="5"/>
      <c r="N30" s="5"/>
      <c r="O30" s="5"/>
      <c r="P30" s="5"/>
      <c r="Q30" s="6" t="s">
        <v>1017</v>
      </c>
      <c r="R30" s="6" t="s">
        <v>1073</v>
      </c>
      <c r="S30" s="5"/>
      <c r="T30" s="5"/>
      <c r="U30" s="5"/>
      <c r="V30" s="5"/>
      <c r="W30" s="5"/>
      <c r="X30" s="5"/>
      <c r="Y30" s="5"/>
      <c r="Z30" s="5"/>
    </row>
    <row r="31" spans="1:26" ht="16.5" customHeight="1">
      <c r="A31" s="5"/>
      <c r="B31" s="5"/>
      <c r="C31" s="5"/>
      <c r="D31" s="5"/>
      <c r="E31" s="5"/>
      <c r="F31" s="5"/>
      <c r="G31" s="5"/>
      <c r="J31" s="5"/>
      <c r="K31" s="6" t="s">
        <v>1037</v>
      </c>
      <c r="L31" s="6" t="s">
        <v>13</v>
      </c>
      <c r="M31" s="5"/>
      <c r="O31" s="5"/>
      <c r="P31" s="5"/>
      <c r="Q31" s="6" t="s">
        <v>1021</v>
      </c>
      <c r="R31" s="6" t="s">
        <v>1074</v>
      </c>
      <c r="S31" s="5"/>
      <c r="T31" s="5"/>
      <c r="U31" s="5"/>
      <c r="V31" s="5"/>
      <c r="W31" s="5"/>
      <c r="X31" s="5"/>
      <c r="Y31" s="5"/>
      <c r="Z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O32" s="155"/>
      <c r="P32" s="5"/>
      <c r="Q32" s="6" t="s">
        <v>511</v>
      </c>
      <c r="R32" s="6" t="s">
        <v>8</v>
      </c>
      <c r="S32" s="5"/>
      <c r="T32" s="5"/>
      <c r="U32" s="5"/>
      <c r="V32" s="5"/>
      <c r="W32" s="5"/>
      <c r="X32" s="5"/>
      <c r="Y32" s="5"/>
      <c r="Z32" s="5"/>
    </row>
    <row r="33" spans="1:26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0"/>
      <c r="O33" s="157"/>
      <c r="P33" s="5"/>
      <c r="Q33" s="6" t="s">
        <v>1028</v>
      </c>
      <c r="R33" s="6" t="s">
        <v>1030</v>
      </c>
      <c r="S33" s="5"/>
      <c r="T33" s="5"/>
      <c r="U33" s="5"/>
      <c r="V33" s="5"/>
      <c r="W33" s="5"/>
      <c r="X33" s="5"/>
      <c r="Y33" s="5"/>
      <c r="Z33" s="5"/>
    </row>
    <row r="34" spans="1:26" ht="16.5" customHeight="1">
      <c r="A34" s="5"/>
      <c r="B34" s="5"/>
      <c r="C34" s="5"/>
      <c r="D34" s="5"/>
      <c r="E34" s="5"/>
      <c r="F34" s="5"/>
      <c r="G34" s="5"/>
      <c r="H34" s="5"/>
      <c r="I34" s="158"/>
      <c r="J34" s="5"/>
      <c r="K34" s="5"/>
      <c r="L34" s="5"/>
      <c r="M34" s="5"/>
      <c r="P34" s="5"/>
      <c r="Q34" s="6" t="s">
        <v>1032</v>
      </c>
      <c r="R34" s="6" t="s">
        <v>1064</v>
      </c>
      <c r="S34" s="5"/>
      <c r="T34" s="5"/>
      <c r="U34" s="5"/>
      <c r="V34" s="5"/>
      <c r="W34" s="5"/>
      <c r="X34" s="5"/>
      <c r="Y34" s="5"/>
      <c r="Z34" s="5"/>
    </row>
    <row r="35" spans="1:26" ht="16.5" customHeight="1">
      <c r="A35" s="5"/>
      <c r="B35" s="5"/>
      <c r="C35" s="5"/>
      <c r="D35" s="5"/>
      <c r="E35" s="5"/>
      <c r="F35" s="5"/>
      <c r="G35" s="5"/>
      <c r="H35" s="5"/>
      <c r="J35" s="5"/>
      <c r="K35" s="5"/>
      <c r="L35" s="5" t="s">
        <v>1075</v>
      </c>
      <c r="M35" s="5"/>
      <c r="P35" s="5"/>
      <c r="Q35" s="6" t="s">
        <v>1037</v>
      </c>
      <c r="R35" s="6" t="s">
        <v>13</v>
      </c>
      <c r="S35" s="5"/>
      <c r="T35" s="5"/>
      <c r="U35" s="5"/>
      <c r="V35" s="5"/>
      <c r="W35" s="5"/>
      <c r="X35" s="5"/>
      <c r="Y35" s="5"/>
      <c r="Z35" s="5"/>
    </row>
    <row r="36" spans="1:26" ht="16.5" customHeight="1">
      <c r="A36" s="5"/>
      <c r="B36" s="5"/>
      <c r="C36" s="5"/>
      <c r="D36" s="5"/>
      <c r="E36" s="5"/>
      <c r="F36" s="5"/>
      <c r="G36" s="5"/>
      <c r="H36" s="5"/>
      <c r="J36" s="5"/>
      <c r="K36" s="5"/>
      <c r="L36" s="5" t="s">
        <v>590</v>
      </c>
      <c r="M36" s="5"/>
      <c r="N36" s="50"/>
      <c r="O36" s="50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S39" s="5"/>
      <c r="T39" s="154"/>
      <c r="U39" s="5"/>
      <c r="V39" s="5"/>
      <c r="W39" s="5"/>
      <c r="X39" s="5"/>
      <c r="Y39" s="5"/>
      <c r="Z39" s="5"/>
    </row>
    <row r="40" spans="1:26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154"/>
      <c r="U40" s="5"/>
      <c r="V40" s="5"/>
      <c r="W40" s="5"/>
      <c r="X40" s="5"/>
      <c r="Y40" s="5"/>
      <c r="Z40" s="5"/>
    </row>
    <row r="41" spans="1:26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134"/>
      <c r="U41" s="5"/>
      <c r="V41" s="5"/>
      <c r="W41" s="5"/>
      <c r="X41" s="5"/>
      <c r="Y41" s="5"/>
      <c r="Z41" s="5"/>
    </row>
    <row r="42" spans="1:26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0"/>
      <c r="O42" s="157"/>
      <c r="P42" s="5"/>
      <c r="Q42" s="5"/>
      <c r="R42" s="5"/>
      <c r="S42" s="5"/>
      <c r="T42" s="50"/>
      <c r="U42" s="5"/>
      <c r="V42" s="5"/>
      <c r="W42" s="5"/>
      <c r="X42" s="5"/>
      <c r="Y42" s="5"/>
      <c r="Z42" s="5"/>
    </row>
    <row r="43" spans="1:26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0"/>
      <c r="R43" s="157"/>
      <c r="S43" s="5"/>
      <c r="T43" s="157"/>
      <c r="U43" s="5"/>
      <c r="V43" s="5"/>
      <c r="W43" s="5"/>
      <c r="X43" s="5"/>
      <c r="Y43" s="5"/>
      <c r="Z43" s="5"/>
    </row>
    <row r="44" spans="1:26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S44" s="5"/>
      <c r="T44" s="5"/>
      <c r="U44" s="5"/>
      <c r="V44" s="5"/>
      <c r="W44" s="5"/>
      <c r="X44" s="5"/>
      <c r="Y44" s="5"/>
      <c r="Z44" s="5"/>
    </row>
    <row r="45" spans="1:26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58"/>
      <c r="U45" s="5"/>
      <c r="V45" s="5"/>
      <c r="W45" s="5"/>
      <c r="X45" s="5"/>
      <c r="Y45" s="5"/>
      <c r="Z45" s="5"/>
    </row>
    <row r="46" spans="1:2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0"/>
      <c r="R48" s="157"/>
      <c r="S48" s="5"/>
      <c r="T48" s="5"/>
      <c r="U48" s="5"/>
      <c r="V48" s="5"/>
      <c r="W48" s="5"/>
      <c r="X48" s="5"/>
      <c r="Y48" s="5"/>
      <c r="Z48" s="5"/>
    </row>
    <row r="49" spans="1:26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155"/>
      <c r="S52" s="5"/>
      <c r="T52" s="5"/>
      <c r="U52" s="5"/>
      <c r="V52" s="5"/>
      <c r="W52" s="5"/>
      <c r="X52" s="5"/>
      <c r="Y52" s="5"/>
      <c r="Z52" s="5"/>
    </row>
    <row r="53" spans="1:26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0"/>
      <c r="R53" s="157"/>
      <c r="S53" s="5"/>
      <c r="T53" s="5"/>
      <c r="U53" s="5"/>
      <c r="V53" s="5"/>
      <c r="W53" s="5"/>
      <c r="X53" s="5"/>
      <c r="Y53" s="5"/>
      <c r="Z53" s="5"/>
    </row>
    <row r="54" spans="1:26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7">
    <mergeCell ref="H13:I13"/>
    <mergeCell ref="Q17:R17"/>
    <mergeCell ref="N18:O18"/>
    <mergeCell ref="K13:L13"/>
    <mergeCell ref="K23:L23"/>
    <mergeCell ref="Q27:R27"/>
    <mergeCell ref="N3:O3"/>
    <mergeCell ref="N6:O6"/>
    <mergeCell ref="Q7:R7"/>
    <mergeCell ref="N8:O8"/>
    <mergeCell ref="H2:I2"/>
    <mergeCell ref="K2:L2"/>
    <mergeCell ref="N2:O2"/>
    <mergeCell ref="Q2:R2"/>
    <mergeCell ref="H3:I3"/>
    <mergeCell ref="K3:L3"/>
    <mergeCell ref="Q3:R3"/>
  </mergeCells>
  <phoneticPr fontId="7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원링크생성규칙_24.11.12</vt:lpstr>
      <vt:lpstr>커버링 X 인플루언서 협업 트래킹</vt:lpstr>
      <vt:lpstr>대행사 컨택 히스토리</vt:lpstr>
      <vt:lpstr>소문내기 이벤트 대상자</vt:lpstr>
      <vt:lpstr>소재 라벨링 규칙</vt:lpstr>
      <vt:lpstr>CRM 시나리오(도형)_25.05.30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이도형</dc:creator>
  <cp:lastModifiedBy>이 도형</cp:lastModifiedBy>
  <dcterms:created xsi:type="dcterms:W3CDTF">2026-05-02T10:03:49Z</dcterms:created>
  <dcterms:modified xsi:type="dcterms:W3CDTF">2026-05-02T10:03:49Z</dcterms:modified>
</cp:coreProperties>
</file>